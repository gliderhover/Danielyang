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zhen\Desktop\"/>
    </mc:Choice>
  </mc:AlternateContent>
  <xr:revisionPtr revIDLastSave="0" documentId="13_ncr:1_{05BE8BD8-290E-43E5-9898-DDCA74EBB529}" xr6:coauthVersionLast="47" xr6:coauthVersionMax="47" xr10:uidLastSave="{00000000-0000-0000-0000-000000000000}"/>
  <bookViews>
    <workbookView xWindow="-120" yWindow="-120" windowWidth="29040" windowHeight="15720" tabRatio="726" activeTab="2" xr2:uid="{60E2C24D-5589-4A52-8883-5FC57F350B6C}"/>
  </bookViews>
  <sheets>
    <sheet name="Assumptions" sheetId="2" r:id="rId1"/>
    <sheet name="DCF Model" sheetId="4" r:id="rId2"/>
    <sheet name="Annual Summary" sheetId="6" r:id="rId3"/>
  </sheets>
  <definedNames>
    <definedName name="amortization_term">#REF!</definedName>
    <definedName name="interest_rate">#REF!</definedName>
    <definedName name="lease_term">#REF!</definedName>
    <definedName name="loan_amount">#REF!</definedName>
    <definedName name="Op_exp">#REF!</definedName>
    <definedName name="points">#REF!</definedName>
    <definedName name="prop_taxes">#REF!</definedName>
    <definedName name="Purchase_price">#REF!</definedName>
    <definedName name="rent_1">#REF!</definedName>
    <definedName name="rent_2">#REF!</definedName>
    <definedName name="rent_3">#REF!</definedName>
    <definedName name="rent_4">#REF!</definedName>
    <definedName name="Square_fee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4" l="1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G88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CL87" i="4"/>
  <c r="G87" i="4"/>
  <c r="G76" i="6"/>
  <c r="H76" i="6"/>
  <c r="I76" i="6"/>
  <c r="J76" i="6"/>
  <c r="K76" i="6"/>
  <c r="L76" i="6"/>
  <c r="M76" i="6"/>
  <c r="H75" i="6"/>
  <c r="I75" i="6"/>
  <c r="J75" i="6"/>
  <c r="K75" i="6"/>
  <c r="L75" i="6"/>
  <c r="M75" i="6"/>
  <c r="G75" i="6"/>
  <c r="H74" i="6"/>
  <c r="I74" i="6"/>
  <c r="J74" i="6"/>
  <c r="K74" i="6"/>
  <c r="L74" i="6"/>
  <c r="M74" i="6"/>
  <c r="G74" i="6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BY78" i="4"/>
  <c r="BZ78" i="4"/>
  <c r="CA78" i="4"/>
  <c r="CB78" i="4"/>
  <c r="CC78" i="4"/>
  <c r="CD78" i="4"/>
  <c r="CE78" i="4"/>
  <c r="CF78" i="4"/>
  <c r="CG78" i="4"/>
  <c r="CH78" i="4"/>
  <c r="CI78" i="4"/>
  <c r="CJ78" i="4"/>
  <c r="CK78" i="4"/>
  <c r="CL78" i="4"/>
  <c r="G78" i="4"/>
  <c r="D120" i="4"/>
  <c r="D122" i="4" s="1"/>
  <c r="D121" i="4" s="1"/>
  <c r="F105" i="4"/>
  <c r="D105" i="6"/>
  <c r="D107" i="6" s="1"/>
  <c r="D106" i="6" s="1"/>
  <c r="F90" i="6"/>
  <c r="D91" i="6"/>
  <c r="D106" i="4"/>
  <c r="F106" i="4" s="1"/>
  <c r="C112" i="6"/>
  <c r="C111" i="6"/>
  <c r="D115" i="6"/>
  <c r="E115" i="6" s="1"/>
  <c r="F115" i="6" s="1"/>
  <c r="G115" i="6" s="1"/>
  <c r="H115" i="6" s="1"/>
  <c r="B117" i="6"/>
  <c r="B118" i="6" s="1"/>
  <c r="B119" i="6" s="1"/>
  <c r="B120" i="6" s="1"/>
  <c r="B121" i="6" s="1"/>
  <c r="B122" i="6" s="1"/>
  <c r="F91" i="6" l="1"/>
  <c r="D80" i="6"/>
  <c r="D94" i="4"/>
  <c r="F79" i="6"/>
  <c r="D79" i="6"/>
  <c r="D19" i="4"/>
  <c r="D25" i="4"/>
  <c r="D45" i="4"/>
  <c r="K80" i="6" l="1"/>
  <c r="I80" i="6"/>
  <c r="J80" i="6"/>
  <c r="L80" i="6"/>
  <c r="H80" i="6"/>
  <c r="G80" i="6"/>
  <c r="M80" i="6"/>
  <c r="F93" i="4"/>
  <c r="D93" i="4"/>
  <c r="F39" i="6"/>
  <c r="D3" i="6"/>
  <c r="D5" i="6"/>
  <c r="D6" i="6"/>
  <c r="D55" i="6"/>
  <c r="D53" i="6"/>
  <c r="D54" i="6" s="1"/>
  <c r="D32" i="6"/>
  <c r="D29" i="6"/>
  <c r="D26" i="6"/>
  <c r="D25" i="6"/>
  <c r="D24" i="6"/>
  <c r="D23" i="6"/>
  <c r="D18" i="6"/>
  <c r="D17" i="6"/>
  <c r="D16" i="6"/>
  <c r="D14" i="6"/>
  <c r="D13" i="6"/>
  <c r="D12" i="6"/>
  <c r="D11" i="6"/>
  <c r="D10" i="6"/>
  <c r="G7" i="6"/>
  <c r="D67" i="4"/>
  <c r="D65" i="4"/>
  <c r="D16" i="4"/>
  <c r="D42" i="4"/>
  <c r="D39" i="4"/>
  <c r="D38" i="4"/>
  <c r="D37" i="4"/>
  <c r="D36" i="4"/>
  <c r="D24" i="4"/>
  <c r="D20" i="4"/>
  <c r="D18" i="4"/>
  <c r="D23" i="4"/>
  <c r="D17" i="4"/>
  <c r="D22" i="4"/>
  <c r="F12" i="4"/>
  <c r="D11" i="4"/>
  <c r="F10" i="4"/>
  <c r="F9" i="4"/>
  <c r="D9" i="4"/>
  <c r="D7" i="4"/>
  <c r="D6" i="4"/>
  <c r="D5" i="4"/>
  <c r="G6" i="4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CA6" i="4" s="1"/>
  <c r="CB6" i="4" s="1"/>
  <c r="CC6" i="4" s="1"/>
  <c r="CD6" i="4" s="1"/>
  <c r="CE6" i="4" s="1"/>
  <c r="CF6" i="4" s="1"/>
  <c r="CG6" i="4" s="1"/>
  <c r="CH6" i="4" s="1"/>
  <c r="CI6" i="4" s="1"/>
  <c r="CJ6" i="4" s="1"/>
  <c r="CK6" i="4" s="1"/>
  <c r="CL6" i="4" s="1"/>
  <c r="CM6" i="4" s="1"/>
  <c r="CN6" i="4" s="1"/>
  <c r="CO6" i="4" s="1"/>
  <c r="CP6" i="4" s="1"/>
  <c r="CQ6" i="4" s="1"/>
  <c r="CR6" i="4" s="1"/>
  <c r="CS6" i="4" s="1"/>
  <c r="CT6" i="4" s="1"/>
  <c r="CU6" i="4" s="1"/>
  <c r="CV6" i="4" s="1"/>
  <c r="CW6" i="4" s="1"/>
  <c r="CX6" i="4" s="1"/>
  <c r="R5" i="4"/>
  <c r="Q5" i="4"/>
  <c r="P5" i="4"/>
  <c r="O5" i="4"/>
  <c r="N5" i="4"/>
  <c r="M5" i="4"/>
  <c r="L5" i="4"/>
  <c r="K5" i="4"/>
  <c r="J5" i="4"/>
  <c r="I5" i="4"/>
  <c r="H5" i="4"/>
  <c r="G5" i="4"/>
  <c r="G19" i="4" s="1"/>
  <c r="H19" i="4" s="1"/>
  <c r="I19" i="4" s="1"/>
  <c r="D3" i="4"/>
  <c r="F7" i="4" s="1"/>
  <c r="F11" i="4" l="1"/>
  <c r="J19" i="4"/>
  <c r="K19" i="4" s="1"/>
  <c r="L19" i="4" s="1"/>
  <c r="M19" i="4" s="1"/>
  <c r="N19" i="4" s="1"/>
  <c r="O19" i="4" s="1"/>
  <c r="P19" i="4" s="1"/>
  <c r="Q19" i="4" s="1"/>
  <c r="R19" i="4" s="1"/>
  <c r="I10" i="4"/>
  <c r="J10" i="4"/>
  <c r="D57" i="6"/>
  <c r="P45" i="4"/>
  <c r="R32" i="4"/>
  <c r="R45" i="4"/>
  <c r="H10" i="4"/>
  <c r="G45" i="4"/>
  <c r="K45" i="4"/>
  <c r="X5" i="4"/>
  <c r="X32" i="4" s="1"/>
  <c r="L45" i="4"/>
  <c r="M30" i="4"/>
  <c r="M45" i="4"/>
  <c r="H45" i="4"/>
  <c r="I45" i="4"/>
  <c r="J30" i="4"/>
  <c r="J45" i="4"/>
  <c r="N45" i="4"/>
  <c r="O45" i="4"/>
  <c r="AC5" i="4"/>
  <c r="AC32" i="4" s="1"/>
  <c r="Q45" i="4"/>
  <c r="P10" i="4"/>
  <c r="N10" i="4"/>
  <c r="O10" i="4"/>
  <c r="K10" i="4"/>
  <c r="G10" i="4"/>
  <c r="F8" i="6"/>
  <c r="F41" i="6" s="1"/>
  <c r="D66" i="4"/>
  <c r="R94" i="4"/>
  <c r="AP94" i="4"/>
  <c r="BN94" i="4"/>
  <c r="CL94" i="4"/>
  <c r="BA94" i="4"/>
  <c r="BY94" i="4"/>
  <c r="BB94" i="4"/>
  <c r="CB94" i="4"/>
  <c r="CE94" i="4"/>
  <c r="AL94" i="4"/>
  <c r="CJ94" i="4"/>
  <c r="AO94" i="4"/>
  <c r="S94" i="4"/>
  <c r="AQ94" i="4"/>
  <c r="BO94" i="4"/>
  <c r="AV94" i="4"/>
  <c r="AW94" i="4"/>
  <c r="AY94" i="4"/>
  <c r="BW94" i="4"/>
  <c r="AC94" i="4"/>
  <c r="G94" i="4"/>
  <c r="AF94" i="4"/>
  <c r="AH94" i="4"/>
  <c r="AK94" i="4"/>
  <c r="CG94" i="4"/>
  <c r="T94" i="4"/>
  <c r="AR94" i="4"/>
  <c r="BP94" i="4"/>
  <c r="BU94" i="4"/>
  <c r="Z94" i="4"/>
  <c r="AX94" i="4"/>
  <c r="AA94" i="4"/>
  <c r="AB94" i="4"/>
  <c r="BX94" i="4"/>
  <c r="BC94" i="4"/>
  <c r="CA94" i="4"/>
  <c r="H94" i="4"/>
  <c r="AJ94" i="4"/>
  <c r="U94" i="4"/>
  <c r="AS94" i="4"/>
  <c r="BQ94" i="4"/>
  <c r="Y94" i="4"/>
  <c r="AZ94" i="4"/>
  <c r="BZ94" i="4"/>
  <c r="BD94" i="4"/>
  <c r="AG94" i="4"/>
  <c r="BE94" i="4"/>
  <c r="CC94" i="4"/>
  <c r="K94" i="4"/>
  <c r="N94" i="4"/>
  <c r="Q94" i="4"/>
  <c r="BM94" i="4"/>
  <c r="CK94" i="4"/>
  <c r="V94" i="4"/>
  <c r="AT94" i="4"/>
  <c r="BR94" i="4"/>
  <c r="W94" i="4"/>
  <c r="AU94" i="4"/>
  <c r="BS94" i="4"/>
  <c r="X94" i="4"/>
  <c r="BT94" i="4"/>
  <c r="BV94" i="4"/>
  <c r="AD94" i="4"/>
  <c r="AE94" i="4"/>
  <c r="I94" i="4"/>
  <c r="BF94" i="4"/>
  <c r="AI94" i="4"/>
  <c r="CF94" i="4"/>
  <c r="BJ94" i="4"/>
  <c r="CH94" i="4"/>
  <c r="CI94" i="4"/>
  <c r="P94" i="4"/>
  <c r="BG94" i="4"/>
  <c r="BH94" i="4"/>
  <c r="M94" i="4"/>
  <c r="BI94" i="4"/>
  <c r="AM94" i="4"/>
  <c r="AN94" i="4"/>
  <c r="J94" i="4"/>
  <c r="CD94" i="4"/>
  <c r="L94" i="4"/>
  <c r="BK94" i="4"/>
  <c r="BL94" i="4"/>
  <c r="O94" i="4"/>
  <c r="M10" i="4"/>
  <c r="R10" i="4"/>
  <c r="Q10" i="4"/>
  <c r="L10" i="4"/>
  <c r="G12" i="4"/>
  <c r="N12" i="4"/>
  <c r="O12" i="4"/>
  <c r="M12" i="4"/>
  <c r="G36" i="4"/>
  <c r="G37" i="4"/>
  <c r="G38" i="4"/>
  <c r="G29" i="6"/>
  <c r="H12" i="4"/>
  <c r="R12" i="4"/>
  <c r="Q12" i="4"/>
  <c r="P12" i="4"/>
  <c r="L12" i="4"/>
  <c r="K12" i="4"/>
  <c r="J12" i="4"/>
  <c r="I12" i="4"/>
  <c r="D27" i="6"/>
  <c r="D15" i="6"/>
  <c r="D20" i="6" s="1"/>
  <c r="H7" i="6"/>
  <c r="F74" i="4"/>
  <c r="F72" i="4" s="1"/>
  <c r="D21" i="4"/>
  <c r="D26" i="4" s="1"/>
  <c r="I42" i="4"/>
  <c r="P42" i="4"/>
  <c r="G42" i="4"/>
  <c r="D40" i="4"/>
  <c r="L30" i="4"/>
  <c r="L42" i="4"/>
  <c r="R30" i="4"/>
  <c r="M42" i="4"/>
  <c r="D31" i="4"/>
  <c r="G18" i="4"/>
  <c r="Y5" i="4"/>
  <c r="D32" i="4"/>
  <c r="AD5" i="4"/>
  <c r="H42" i="4"/>
  <c r="J32" i="4"/>
  <c r="F52" i="4"/>
  <c r="F54" i="4"/>
  <c r="F55" i="4" s="1"/>
  <c r="G7" i="4"/>
  <c r="K30" i="4"/>
  <c r="K42" i="4"/>
  <c r="W5" i="4"/>
  <c r="K32" i="4"/>
  <c r="I32" i="4"/>
  <c r="U5" i="4"/>
  <c r="I30" i="4"/>
  <c r="O42" i="4"/>
  <c r="O30" i="4"/>
  <c r="O32" i="4"/>
  <c r="AA5" i="4"/>
  <c r="V5" i="4"/>
  <c r="J42" i="4"/>
  <c r="H30" i="4"/>
  <c r="T5" i="4"/>
  <c r="H32" i="4"/>
  <c r="P32" i="4"/>
  <c r="P30" i="4"/>
  <c r="AB5" i="4"/>
  <c r="S5" i="4"/>
  <c r="S45" i="4" s="1"/>
  <c r="N42" i="4"/>
  <c r="D33" i="4"/>
  <c r="N30" i="4"/>
  <c r="G30" i="4"/>
  <c r="G32" i="4"/>
  <c r="Q42" i="4"/>
  <c r="Q32" i="4"/>
  <c r="N32" i="4"/>
  <c r="Q30" i="4"/>
  <c r="Z5" i="4"/>
  <c r="L32" i="4"/>
  <c r="M32" i="4"/>
  <c r="R42" i="4"/>
  <c r="D30" i="4"/>
  <c r="H23" i="2"/>
  <c r="F75" i="4" s="1"/>
  <c r="F42" i="6" l="1"/>
  <c r="Y45" i="4"/>
  <c r="V45" i="4"/>
  <c r="AA45" i="4"/>
  <c r="AB45" i="4"/>
  <c r="G32" i="6"/>
  <c r="AD45" i="4"/>
  <c r="S19" i="4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X42" i="4"/>
  <c r="AJ5" i="4"/>
  <c r="AJ42" i="4" s="1"/>
  <c r="X30" i="4"/>
  <c r="AC45" i="4"/>
  <c r="U45" i="4"/>
  <c r="AC42" i="4"/>
  <c r="T45" i="4"/>
  <c r="Z45" i="4"/>
  <c r="F61" i="6"/>
  <c r="F63" i="6" s="1"/>
  <c r="F64" i="6" s="1"/>
  <c r="W45" i="4"/>
  <c r="X45" i="4"/>
  <c r="AC30" i="4"/>
  <c r="AO5" i="4"/>
  <c r="BA5" i="4" s="1"/>
  <c r="H38" i="4"/>
  <c r="I38" i="4" s="1"/>
  <c r="J38" i="4" s="1"/>
  <c r="K38" i="4" s="1"/>
  <c r="L38" i="4" s="1"/>
  <c r="M38" i="4" s="1"/>
  <c r="N38" i="4" s="1"/>
  <c r="O38" i="4" s="1"/>
  <c r="P38" i="4" s="1"/>
  <c r="Q38" i="4" s="1"/>
  <c r="R38" i="4" s="1"/>
  <c r="S38" i="4" s="1"/>
  <c r="H36" i="4"/>
  <c r="I36" i="4" s="1"/>
  <c r="J36" i="4" s="1"/>
  <c r="K36" i="4" s="1"/>
  <c r="D69" i="4"/>
  <c r="H37" i="4"/>
  <c r="I37" i="4" s="1"/>
  <c r="J37" i="4" s="1"/>
  <c r="K37" i="4" s="1"/>
  <c r="L37" i="4" s="1"/>
  <c r="M37" i="4" s="1"/>
  <c r="N37" i="4" s="1"/>
  <c r="O37" i="4" s="1"/>
  <c r="P37" i="4" s="1"/>
  <c r="Q37" i="4" s="1"/>
  <c r="R37" i="4" s="1"/>
  <c r="S37" i="4" s="1"/>
  <c r="U12" i="4"/>
  <c r="U10" i="4"/>
  <c r="T12" i="4"/>
  <c r="T10" i="4"/>
  <c r="S10" i="4"/>
  <c r="S12" i="4"/>
  <c r="W10" i="4"/>
  <c r="W12" i="4"/>
  <c r="X12" i="4"/>
  <c r="AB10" i="4"/>
  <c r="AB12" i="4"/>
  <c r="Z10" i="4"/>
  <c r="Z12" i="4"/>
  <c r="V12" i="4"/>
  <c r="V10" i="4"/>
  <c r="AD10" i="4"/>
  <c r="AD12" i="4"/>
  <c r="AA10" i="4"/>
  <c r="AA12" i="4"/>
  <c r="Y10" i="4"/>
  <c r="Y12" i="4"/>
  <c r="AC12" i="4"/>
  <c r="AC10" i="4"/>
  <c r="X10" i="4"/>
  <c r="D30" i="6"/>
  <c r="D33" i="6" s="1"/>
  <c r="I7" i="6"/>
  <c r="F40" i="6"/>
  <c r="F43" i="6" s="1"/>
  <c r="F45" i="6" s="1"/>
  <c r="G74" i="4"/>
  <c r="G72" i="4" s="1"/>
  <c r="F76" i="4"/>
  <c r="D29" i="4"/>
  <c r="D43" i="4"/>
  <c r="D49" i="4" s="1"/>
  <c r="T42" i="4"/>
  <c r="AK5" i="4"/>
  <c r="Z42" i="4"/>
  <c r="AB42" i="4"/>
  <c r="G9" i="4"/>
  <c r="G16" i="4" s="1"/>
  <c r="Y42" i="4"/>
  <c r="H18" i="4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AD42" i="4"/>
  <c r="AD32" i="4"/>
  <c r="Y32" i="4"/>
  <c r="AP5" i="4"/>
  <c r="AD30" i="4"/>
  <c r="Y30" i="4"/>
  <c r="AA32" i="4"/>
  <c r="AA30" i="4"/>
  <c r="AM5" i="4"/>
  <c r="U30" i="4"/>
  <c r="U32" i="4"/>
  <c r="AG5" i="4"/>
  <c r="S30" i="4"/>
  <c r="S32" i="4"/>
  <c r="AE5" i="4"/>
  <c r="AE45" i="4" s="1"/>
  <c r="W30" i="4"/>
  <c r="W32" i="4"/>
  <c r="AI5" i="4"/>
  <c r="V30" i="4"/>
  <c r="V32" i="4"/>
  <c r="AH5" i="4"/>
  <c r="AA42" i="4"/>
  <c r="S42" i="4"/>
  <c r="U42" i="4"/>
  <c r="Z32" i="4"/>
  <c r="Z30" i="4"/>
  <c r="AL5" i="4"/>
  <c r="AB32" i="4"/>
  <c r="AN5" i="4"/>
  <c r="AB30" i="4"/>
  <c r="W42" i="4"/>
  <c r="G11" i="4"/>
  <c r="T30" i="4"/>
  <c r="T32" i="4"/>
  <c r="AF5" i="4"/>
  <c r="V42" i="4"/>
  <c r="G52" i="4"/>
  <c r="H7" i="4"/>
  <c r="F53" i="4"/>
  <c r="F56" i="4" s="1"/>
  <c r="F58" i="4" s="1"/>
  <c r="AP45" i="4" l="1"/>
  <c r="G60" i="6"/>
  <c r="AE19" i="4"/>
  <c r="AF19" i="4" s="1"/>
  <c r="AL45" i="4"/>
  <c r="H32" i="6"/>
  <c r="AH45" i="4"/>
  <c r="AO30" i="4"/>
  <c r="AO32" i="4"/>
  <c r="F59" i="6"/>
  <c r="F67" i="6" s="1"/>
  <c r="F83" i="6" s="1"/>
  <c r="F93" i="6" s="1"/>
  <c r="AJ30" i="4"/>
  <c r="AJ32" i="4"/>
  <c r="AK45" i="4"/>
  <c r="AV5" i="4"/>
  <c r="BH5" i="4" s="1"/>
  <c r="AJ45" i="4"/>
  <c r="AN45" i="4"/>
  <c r="AF45" i="4"/>
  <c r="AO45" i="4"/>
  <c r="AO42" i="4"/>
  <c r="AM45" i="4"/>
  <c r="AI45" i="4"/>
  <c r="AG45" i="4"/>
  <c r="T37" i="4"/>
  <c r="U37" i="4" s="1"/>
  <c r="V37" i="4" s="1"/>
  <c r="W37" i="4" s="1"/>
  <c r="X37" i="4" s="1"/>
  <c r="Y37" i="4" s="1"/>
  <c r="Z37" i="4" s="1"/>
  <c r="AA37" i="4" s="1"/>
  <c r="AB37" i="4" s="1"/>
  <c r="AC37" i="4" s="1"/>
  <c r="AD37" i="4" s="1"/>
  <c r="AE37" i="4" s="1"/>
  <c r="G13" i="6"/>
  <c r="H29" i="6"/>
  <c r="G24" i="6"/>
  <c r="F80" i="4"/>
  <c r="T38" i="4"/>
  <c r="U38" i="4" s="1"/>
  <c r="V38" i="4" s="1"/>
  <c r="W38" i="4" s="1"/>
  <c r="X38" i="4" s="1"/>
  <c r="Y38" i="4" s="1"/>
  <c r="Z38" i="4" s="1"/>
  <c r="AA38" i="4" s="1"/>
  <c r="AB38" i="4" s="1"/>
  <c r="AC38" i="4" s="1"/>
  <c r="AD38" i="4" s="1"/>
  <c r="AE38" i="4" s="1"/>
  <c r="G25" i="6"/>
  <c r="T18" i="4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G12" i="6"/>
  <c r="F77" i="4"/>
  <c r="G73" i="4" s="1"/>
  <c r="G71" i="4" s="1"/>
  <c r="AH12" i="4"/>
  <c r="AH10" i="4"/>
  <c r="AP10" i="4"/>
  <c r="AP12" i="4"/>
  <c r="AE12" i="4"/>
  <c r="AE10" i="4"/>
  <c r="AN12" i="4"/>
  <c r="AN10" i="4"/>
  <c r="AK12" i="4"/>
  <c r="AK10" i="4"/>
  <c r="AF10" i="4"/>
  <c r="AF12" i="4"/>
  <c r="AI12" i="4"/>
  <c r="AI10" i="4"/>
  <c r="AL12" i="4"/>
  <c r="AL10" i="4"/>
  <c r="AJ10" i="4"/>
  <c r="AG12" i="4"/>
  <c r="AG10" i="4"/>
  <c r="AJ12" i="4"/>
  <c r="AO12" i="4"/>
  <c r="AO10" i="4"/>
  <c r="AM12" i="4"/>
  <c r="AM10" i="4"/>
  <c r="D36" i="6"/>
  <c r="J7" i="6"/>
  <c r="BA42" i="4"/>
  <c r="H74" i="4"/>
  <c r="H72" i="4" s="1"/>
  <c r="AK42" i="4"/>
  <c r="AK30" i="4"/>
  <c r="AK32" i="4"/>
  <c r="AW5" i="4"/>
  <c r="AG42" i="4"/>
  <c r="AP42" i="4"/>
  <c r="AE42" i="4"/>
  <c r="H9" i="4"/>
  <c r="H16" i="4" s="1"/>
  <c r="D46" i="4"/>
  <c r="AP30" i="4"/>
  <c r="BB5" i="4"/>
  <c r="BB45" i="4" s="1"/>
  <c r="AP32" i="4"/>
  <c r="AN42" i="4"/>
  <c r="AL30" i="4"/>
  <c r="AX5" i="4"/>
  <c r="AL32" i="4"/>
  <c r="AI42" i="4"/>
  <c r="AM32" i="4"/>
  <c r="AY5" i="4"/>
  <c r="AM30" i="4"/>
  <c r="AF30" i="4"/>
  <c r="AR5" i="4"/>
  <c r="AF32" i="4"/>
  <c r="AL42" i="4"/>
  <c r="AE32" i="4"/>
  <c r="AQ5" i="4"/>
  <c r="AQ45" i="4" s="1"/>
  <c r="AE30" i="4"/>
  <c r="H11" i="4"/>
  <c r="G17" i="4"/>
  <c r="AH30" i="4"/>
  <c r="AT5" i="4"/>
  <c r="AH32" i="4"/>
  <c r="AG32" i="4"/>
  <c r="AS5" i="4"/>
  <c r="AG30" i="4"/>
  <c r="L36" i="4"/>
  <c r="AZ5" i="4"/>
  <c r="AN30" i="4"/>
  <c r="AN32" i="4"/>
  <c r="AM42" i="4"/>
  <c r="AI30" i="4"/>
  <c r="AU5" i="4"/>
  <c r="AI32" i="4"/>
  <c r="H52" i="4"/>
  <c r="I7" i="4"/>
  <c r="I74" i="4" s="1"/>
  <c r="I72" i="4" s="1"/>
  <c r="AF42" i="4"/>
  <c r="AH42" i="4"/>
  <c r="G20" i="4"/>
  <c r="G22" i="4"/>
  <c r="G53" i="4"/>
  <c r="BA32" i="4"/>
  <c r="BA30" i="4"/>
  <c r="BM5" i="4"/>
  <c r="F97" i="4" l="1"/>
  <c r="F108" i="4"/>
  <c r="F113" i="4" s="1"/>
  <c r="AV42" i="4"/>
  <c r="AW45" i="4"/>
  <c r="AV32" i="4"/>
  <c r="AV30" i="4"/>
  <c r="I32" i="6"/>
  <c r="AS45" i="4"/>
  <c r="F81" i="6"/>
  <c r="D81" i="6"/>
  <c r="AU45" i="4"/>
  <c r="AX45" i="4"/>
  <c r="AY45" i="4"/>
  <c r="AT45" i="4"/>
  <c r="AR45" i="4"/>
  <c r="AZ45" i="4"/>
  <c r="BA45" i="4"/>
  <c r="AV45" i="4"/>
  <c r="AF18" i="4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F38" i="4"/>
  <c r="AG38" i="4" s="1"/>
  <c r="AH38" i="4" s="1"/>
  <c r="AI38" i="4" s="1"/>
  <c r="AJ38" i="4" s="1"/>
  <c r="AK38" i="4" s="1"/>
  <c r="AL38" i="4" s="1"/>
  <c r="AM38" i="4" s="1"/>
  <c r="AN38" i="4" s="1"/>
  <c r="AO38" i="4" s="1"/>
  <c r="AP38" i="4" s="1"/>
  <c r="AQ38" i="4" s="1"/>
  <c r="H12" i="6"/>
  <c r="H13" i="6"/>
  <c r="AG19" i="4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F95" i="4"/>
  <c r="G24" i="4"/>
  <c r="AF37" i="4"/>
  <c r="AG37" i="4" s="1"/>
  <c r="AH37" i="4" s="1"/>
  <c r="AI37" i="4" s="1"/>
  <c r="AJ37" i="4" s="1"/>
  <c r="AK37" i="4" s="1"/>
  <c r="AL37" i="4" s="1"/>
  <c r="AM37" i="4" s="1"/>
  <c r="AN37" i="4" s="1"/>
  <c r="AO37" i="4" s="1"/>
  <c r="AP37" i="4" s="1"/>
  <c r="AQ37" i="4" s="1"/>
  <c r="I29" i="6"/>
  <c r="H24" i="6"/>
  <c r="G75" i="4"/>
  <c r="H25" i="6"/>
  <c r="D95" i="4"/>
  <c r="BA12" i="4"/>
  <c r="BA10" i="4"/>
  <c r="AT10" i="4"/>
  <c r="AT12" i="4"/>
  <c r="AQ10" i="4"/>
  <c r="AQ12" i="4"/>
  <c r="AU12" i="4"/>
  <c r="AU10" i="4"/>
  <c r="BB10" i="4"/>
  <c r="BB12" i="4"/>
  <c r="AR10" i="4"/>
  <c r="AR12" i="4"/>
  <c r="AZ12" i="4"/>
  <c r="AZ10" i="4"/>
  <c r="AY12" i="4"/>
  <c r="AY10" i="4"/>
  <c r="AW12" i="4"/>
  <c r="AW10" i="4"/>
  <c r="AS12" i="4"/>
  <c r="AS10" i="4"/>
  <c r="AV12" i="4"/>
  <c r="AX12" i="4"/>
  <c r="AX10" i="4"/>
  <c r="AV10" i="4"/>
  <c r="K7" i="6"/>
  <c r="AS42" i="4"/>
  <c r="AW30" i="4"/>
  <c r="AW42" i="4"/>
  <c r="BI5" i="4"/>
  <c r="BI45" i="4" s="1"/>
  <c r="AW32" i="4"/>
  <c r="I9" i="4"/>
  <c r="I16" i="4" s="1"/>
  <c r="BM42" i="4"/>
  <c r="AT42" i="4"/>
  <c r="AZ42" i="4"/>
  <c r="BH42" i="4"/>
  <c r="AR42" i="4"/>
  <c r="AX42" i="4"/>
  <c r="AY42" i="4"/>
  <c r="BB42" i="4"/>
  <c r="BB32" i="4"/>
  <c r="BN5" i="4"/>
  <c r="BN45" i="4" s="1"/>
  <c r="BB30" i="4"/>
  <c r="AU30" i="4"/>
  <c r="BG5" i="4"/>
  <c r="AU32" i="4"/>
  <c r="H17" i="4"/>
  <c r="H25" i="4" s="1"/>
  <c r="I11" i="4"/>
  <c r="AZ30" i="4"/>
  <c r="BL5" i="4"/>
  <c r="BM45" i="4" s="1"/>
  <c r="AZ32" i="4"/>
  <c r="BH32" i="4"/>
  <c r="BH30" i="4"/>
  <c r="BT5" i="4"/>
  <c r="G31" i="4"/>
  <c r="AS30" i="4"/>
  <c r="BE5" i="4"/>
  <c r="AS32" i="4"/>
  <c r="G25" i="4"/>
  <c r="G21" i="4" s="1"/>
  <c r="AQ32" i="4"/>
  <c r="BC5" i="4"/>
  <c r="BC45" i="4" s="1"/>
  <c r="AQ30" i="4"/>
  <c r="H20" i="4"/>
  <c r="H22" i="4"/>
  <c r="AX30" i="4"/>
  <c r="BJ5" i="4"/>
  <c r="AX32" i="4"/>
  <c r="AR32" i="4"/>
  <c r="AR30" i="4"/>
  <c r="BD5" i="4"/>
  <c r="AU42" i="4"/>
  <c r="AQ42" i="4"/>
  <c r="H53" i="4"/>
  <c r="BF5" i="4"/>
  <c r="AT32" i="4"/>
  <c r="AT30" i="4"/>
  <c r="BM30" i="4"/>
  <c r="BY5" i="4"/>
  <c r="BM32" i="4"/>
  <c r="G23" i="4"/>
  <c r="I52" i="4"/>
  <c r="J7" i="4"/>
  <c r="J74" i="4" s="1"/>
  <c r="J72" i="4" s="1"/>
  <c r="M36" i="4"/>
  <c r="AY32" i="4"/>
  <c r="AY30" i="4"/>
  <c r="BK5" i="4"/>
  <c r="F112" i="4" l="1"/>
  <c r="F107" i="4"/>
  <c r="F114" i="4"/>
  <c r="F92" i="6"/>
  <c r="F97" i="6"/>
  <c r="F94" i="6"/>
  <c r="G90" i="6" s="1"/>
  <c r="F95" i="6"/>
  <c r="F98" i="6"/>
  <c r="F99" i="6" s="1"/>
  <c r="BE45" i="4"/>
  <c r="L96" i="4"/>
  <c r="AJ96" i="4"/>
  <c r="Y96" i="4"/>
  <c r="N96" i="4"/>
  <c r="Z96" i="4"/>
  <c r="AL96" i="4"/>
  <c r="AX96" i="4"/>
  <c r="BJ96" i="4"/>
  <c r="BV96" i="4"/>
  <c r="CH96" i="4"/>
  <c r="BB96" i="4"/>
  <c r="BC96" i="4"/>
  <c r="G96" i="4"/>
  <c r="AF96" i="4"/>
  <c r="I96" i="4"/>
  <c r="AK96" i="4"/>
  <c r="O96" i="4"/>
  <c r="AA96" i="4"/>
  <c r="AM96" i="4"/>
  <c r="AY96" i="4"/>
  <c r="BK96" i="4"/>
  <c r="BW96" i="4"/>
  <c r="CI96" i="4"/>
  <c r="Q96" i="4"/>
  <c r="AC96" i="4"/>
  <c r="BA96" i="4"/>
  <c r="BM96" i="4"/>
  <c r="CK96" i="4"/>
  <c r="R96" i="4"/>
  <c r="AP96" i="4"/>
  <c r="BN96" i="4"/>
  <c r="AE96" i="4"/>
  <c r="AQ96" i="4"/>
  <c r="CA96" i="4"/>
  <c r="H96" i="4"/>
  <c r="BP96" i="4"/>
  <c r="U96" i="4"/>
  <c r="CC96" i="4"/>
  <c r="CF96" i="4"/>
  <c r="BI96" i="4"/>
  <c r="P96" i="4"/>
  <c r="AB96" i="4"/>
  <c r="AN96" i="4"/>
  <c r="AZ96" i="4"/>
  <c r="BL96" i="4"/>
  <c r="BX96" i="4"/>
  <c r="CJ96" i="4"/>
  <c r="AO96" i="4"/>
  <c r="BY96" i="4"/>
  <c r="BZ96" i="4"/>
  <c r="BO96" i="4"/>
  <c r="T96" i="4"/>
  <c r="BD96" i="4"/>
  <c r="CB96" i="4"/>
  <c r="BE96" i="4"/>
  <c r="BT96" i="4"/>
  <c r="AW96" i="4"/>
  <c r="CL96" i="4"/>
  <c r="BQ96" i="4"/>
  <c r="AV96" i="4"/>
  <c r="CG96" i="4"/>
  <c r="AD96" i="4"/>
  <c r="AG96" i="4"/>
  <c r="M96" i="4"/>
  <c r="S96" i="4"/>
  <c r="AR96" i="4"/>
  <c r="AS96" i="4"/>
  <c r="J96" i="4"/>
  <c r="V96" i="4"/>
  <c r="AH96" i="4"/>
  <c r="AT96" i="4"/>
  <c r="BF96" i="4"/>
  <c r="BR96" i="4"/>
  <c r="CD96" i="4"/>
  <c r="K96" i="4"/>
  <c r="W96" i="4"/>
  <c r="AI96" i="4"/>
  <c r="AU96" i="4"/>
  <c r="BG96" i="4"/>
  <c r="BS96" i="4"/>
  <c r="CE96" i="4"/>
  <c r="X96" i="4"/>
  <c r="BH96" i="4"/>
  <c r="BU96" i="4"/>
  <c r="H82" i="6"/>
  <c r="I82" i="6"/>
  <c r="L82" i="6"/>
  <c r="J82" i="6"/>
  <c r="K82" i="6"/>
  <c r="M82" i="6"/>
  <c r="G82" i="6"/>
  <c r="J32" i="6"/>
  <c r="BK45" i="4"/>
  <c r="BD45" i="4"/>
  <c r="BL45" i="4"/>
  <c r="BF45" i="4"/>
  <c r="BG45" i="4"/>
  <c r="BJ45" i="4"/>
  <c r="BH45" i="4"/>
  <c r="AR37" i="4"/>
  <c r="AS37" i="4" s="1"/>
  <c r="AT37" i="4" s="1"/>
  <c r="AU37" i="4" s="1"/>
  <c r="AV37" i="4" s="1"/>
  <c r="AW37" i="4" s="1"/>
  <c r="AX37" i="4" s="1"/>
  <c r="AY37" i="4" s="1"/>
  <c r="AZ37" i="4" s="1"/>
  <c r="BA37" i="4" s="1"/>
  <c r="BB37" i="4" s="1"/>
  <c r="BC37" i="4" s="1"/>
  <c r="AR19" i="4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I24" i="6"/>
  <c r="AR38" i="4"/>
  <c r="AS38" i="4" s="1"/>
  <c r="AT38" i="4" s="1"/>
  <c r="AU38" i="4" s="1"/>
  <c r="AV38" i="4" s="1"/>
  <c r="AW38" i="4" s="1"/>
  <c r="AX38" i="4" s="1"/>
  <c r="AY38" i="4" s="1"/>
  <c r="AZ38" i="4" s="1"/>
  <c r="BA38" i="4" s="1"/>
  <c r="BB38" i="4" s="1"/>
  <c r="BC38" i="4" s="1"/>
  <c r="AR18" i="4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I13" i="6"/>
  <c r="I12" i="6"/>
  <c r="G33" i="4"/>
  <c r="I25" i="6"/>
  <c r="J29" i="6"/>
  <c r="G76" i="4"/>
  <c r="G77" i="4" s="1"/>
  <c r="H73" i="4" s="1"/>
  <c r="BM12" i="4"/>
  <c r="BH10" i="4"/>
  <c r="BM10" i="4"/>
  <c r="BN10" i="4"/>
  <c r="BN12" i="4"/>
  <c r="BC10" i="4"/>
  <c r="BC12" i="4"/>
  <c r="BF12" i="4"/>
  <c r="BF10" i="4"/>
  <c r="BE12" i="4"/>
  <c r="BE10" i="4"/>
  <c r="BD10" i="4"/>
  <c r="BD12" i="4"/>
  <c r="BK12" i="4"/>
  <c r="BK10" i="4"/>
  <c r="BJ12" i="4"/>
  <c r="BJ10" i="4"/>
  <c r="BG12" i="4"/>
  <c r="BG10" i="4"/>
  <c r="BL12" i="4"/>
  <c r="BL10" i="4"/>
  <c r="BI12" i="4"/>
  <c r="BI10" i="4"/>
  <c r="BH12" i="4"/>
  <c r="L7" i="6"/>
  <c r="BI42" i="4"/>
  <c r="BE42" i="4"/>
  <c r="BD42" i="4"/>
  <c r="BI32" i="4"/>
  <c r="BI30" i="4"/>
  <c r="BU5" i="4"/>
  <c r="BU45" i="4" s="1"/>
  <c r="J9" i="4"/>
  <c r="J16" i="4" s="1"/>
  <c r="G26" i="4"/>
  <c r="G39" i="4" s="1"/>
  <c r="BT42" i="4"/>
  <c r="BK42" i="4"/>
  <c r="BF42" i="4"/>
  <c r="BN42" i="4"/>
  <c r="G29" i="4"/>
  <c r="BN32" i="4"/>
  <c r="BN30" i="4"/>
  <c r="BZ5" i="4"/>
  <c r="BZ45" i="4" s="1"/>
  <c r="H31" i="4"/>
  <c r="BL30" i="4"/>
  <c r="BL32" i="4"/>
  <c r="BX5" i="4"/>
  <c r="CK5" i="4"/>
  <c r="BY32" i="4"/>
  <c r="BY30" i="4"/>
  <c r="BG30" i="4"/>
  <c r="BG32" i="4"/>
  <c r="BS5" i="4"/>
  <c r="BC32" i="4"/>
  <c r="BC30" i="4"/>
  <c r="BO5" i="4"/>
  <c r="BO45" i="4" s="1"/>
  <c r="BD32" i="4"/>
  <c r="BD30" i="4"/>
  <c r="BP5" i="4"/>
  <c r="BG42" i="4"/>
  <c r="BC42" i="4"/>
  <c r="BE32" i="4"/>
  <c r="BE30" i="4"/>
  <c r="BQ5" i="4"/>
  <c r="BL42" i="4"/>
  <c r="I17" i="4"/>
  <c r="I25" i="4" s="1"/>
  <c r="J11" i="4"/>
  <c r="I22" i="4"/>
  <c r="I20" i="4"/>
  <c r="CF5" i="4"/>
  <c r="BT32" i="4"/>
  <c r="BT30" i="4"/>
  <c r="I53" i="4"/>
  <c r="H23" i="4"/>
  <c r="H21" i="4" s="1"/>
  <c r="N36" i="4"/>
  <c r="BK32" i="4"/>
  <c r="BK30" i="4"/>
  <c r="BW5" i="4"/>
  <c r="BF30" i="4"/>
  <c r="BR5" i="4"/>
  <c r="BF32" i="4"/>
  <c r="BY42" i="4"/>
  <c r="J52" i="4"/>
  <c r="K7" i="4"/>
  <c r="K74" i="4" s="1"/>
  <c r="K72" i="4" s="1"/>
  <c r="BJ32" i="4"/>
  <c r="BV5" i="4"/>
  <c r="BJ30" i="4"/>
  <c r="BJ42" i="4"/>
  <c r="H24" i="4"/>
  <c r="F110" i="4" l="1"/>
  <c r="F109" i="4"/>
  <c r="G105" i="4" s="1"/>
  <c r="G91" i="6"/>
  <c r="F101" i="6"/>
  <c r="F102" i="6" s="1"/>
  <c r="BV45" i="4"/>
  <c r="BP45" i="4"/>
  <c r="K32" i="6"/>
  <c r="BQ45" i="4"/>
  <c r="BW45" i="4"/>
  <c r="BS45" i="4"/>
  <c r="BR45" i="4"/>
  <c r="BX45" i="4"/>
  <c r="BT45" i="4"/>
  <c r="BY45" i="4"/>
  <c r="BD19" i="4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D18" i="4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D38" i="4"/>
  <c r="BE38" i="4" s="1"/>
  <c r="BF38" i="4" s="1"/>
  <c r="BG38" i="4" s="1"/>
  <c r="BH38" i="4" s="1"/>
  <c r="BI38" i="4" s="1"/>
  <c r="BJ38" i="4" s="1"/>
  <c r="BK38" i="4" s="1"/>
  <c r="BL38" i="4" s="1"/>
  <c r="BM38" i="4" s="1"/>
  <c r="BN38" i="4" s="1"/>
  <c r="BO38" i="4" s="1"/>
  <c r="I31" i="4"/>
  <c r="J13" i="6"/>
  <c r="J12" i="6"/>
  <c r="J25" i="6"/>
  <c r="G40" i="4"/>
  <c r="G43" i="4" s="1"/>
  <c r="J24" i="6"/>
  <c r="BD37" i="4"/>
  <c r="BE37" i="4" s="1"/>
  <c r="BF37" i="4" s="1"/>
  <c r="BG37" i="4" s="1"/>
  <c r="BH37" i="4" s="1"/>
  <c r="BI37" i="4" s="1"/>
  <c r="BJ37" i="4" s="1"/>
  <c r="BK37" i="4" s="1"/>
  <c r="BL37" i="4" s="1"/>
  <c r="BM37" i="4" s="1"/>
  <c r="BN37" i="4" s="1"/>
  <c r="BO37" i="4" s="1"/>
  <c r="K29" i="6"/>
  <c r="H71" i="4"/>
  <c r="I21" i="4"/>
  <c r="BT12" i="4"/>
  <c r="BY12" i="4"/>
  <c r="BR10" i="4"/>
  <c r="BR12" i="4"/>
  <c r="BZ10" i="4"/>
  <c r="BZ12" i="4"/>
  <c r="BW10" i="4"/>
  <c r="BW12" i="4"/>
  <c r="BU32" i="4"/>
  <c r="BU10" i="4"/>
  <c r="BU12" i="4"/>
  <c r="BQ10" i="4"/>
  <c r="BQ12" i="4"/>
  <c r="BX10" i="4"/>
  <c r="BX12" i="4"/>
  <c r="BP10" i="4"/>
  <c r="BP12" i="4"/>
  <c r="BO10" i="4"/>
  <c r="BO12" i="4"/>
  <c r="BY10" i="4"/>
  <c r="BS10" i="4"/>
  <c r="BS12" i="4"/>
  <c r="BT10" i="4"/>
  <c r="BV10" i="4"/>
  <c r="BV12" i="4"/>
  <c r="M7" i="6"/>
  <c r="N7" i="6" s="1"/>
  <c r="F116" i="4"/>
  <c r="F117" i="4" s="1"/>
  <c r="CF42" i="4"/>
  <c r="BU42" i="4"/>
  <c r="BU30" i="4"/>
  <c r="CG5" i="4"/>
  <c r="CG45" i="4" s="1"/>
  <c r="K9" i="4"/>
  <c r="K16" i="4" s="1"/>
  <c r="H26" i="4"/>
  <c r="CK42" i="4"/>
  <c r="BZ32" i="4"/>
  <c r="BZ42" i="4"/>
  <c r="BZ30" i="4"/>
  <c r="CL5" i="4"/>
  <c r="CL45" i="4" s="1"/>
  <c r="BR30" i="4"/>
  <c r="BR32" i="4"/>
  <c r="CD5" i="4"/>
  <c r="H29" i="4"/>
  <c r="H33" i="4"/>
  <c r="BO30" i="4"/>
  <c r="BO32" i="4"/>
  <c r="CA5" i="4"/>
  <c r="CA45" i="4" s="1"/>
  <c r="BS32" i="4"/>
  <c r="CE5" i="4"/>
  <c r="CF45" i="4" s="1"/>
  <c r="BS30" i="4"/>
  <c r="BX30" i="4"/>
  <c r="BX32" i="4"/>
  <c r="CJ5" i="4"/>
  <c r="CK45" i="4" s="1"/>
  <c r="BQ30" i="4"/>
  <c r="BQ32" i="4"/>
  <c r="CC5" i="4"/>
  <c r="BV32" i="4"/>
  <c r="BV30" i="4"/>
  <c r="CH5" i="4"/>
  <c r="I23" i="4"/>
  <c r="BS42" i="4"/>
  <c r="BP32" i="4"/>
  <c r="BP30" i="4"/>
  <c r="CB5" i="4"/>
  <c r="BW30" i="4"/>
  <c r="BW32" i="4"/>
  <c r="CI5" i="4"/>
  <c r="J22" i="4"/>
  <c r="J20" i="4"/>
  <c r="J53" i="4"/>
  <c r="BR42" i="4"/>
  <c r="K52" i="4"/>
  <c r="L7" i="4"/>
  <c r="L74" i="4" s="1"/>
  <c r="L72" i="4" s="1"/>
  <c r="BW42" i="4"/>
  <c r="BQ42" i="4"/>
  <c r="J17" i="4"/>
  <c r="K11" i="4"/>
  <c r="BO42" i="4"/>
  <c r="CF32" i="4"/>
  <c r="CF30" i="4"/>
  <c r="CR5" i="4"/>
  <c r="BP42" i="4"/>
  <c r="CK30" i="4"/>
  <c r="CK32" i="4"/>
  <c r="CW5" i="4"/>
  <c r="BX42" i="4"/>
  <c r="O36" i="4"/>
  <c r="BV42" i="4"/>
  <c r="I24" i="4"/>
  <c r="F122" i="4" l="1"/>
  <c r="F121" i="4"/>
  <c r="G106" i="4"/>
  <c r="F107" i="6"/>
  <c r="F106" i="6"/>
  <c r="CH45" i="4"/>
  <c r="L32" i="6"/>
  <c r="CI45" i="4"/>
  <c r="CD45" i="4"/>
  <c r="CB45" i="4"/>
  <c r="G46" i="4"/>
  <c r="CC45" i="4"/>
  <c r="CE45" i="4"/>
  <c r="CK10" i="4"/>
  <c r="CJ45" i="4"/>
  <c r="BP37" i="4"/>
  <c r="BQ37" i="4" s="1"/>
  <c r="BR37" i="4" s="1"/>
  <c r="BS37" i="4" s="1"/>
  <c r="BT37" i="4" s="1"/>
  <c r="BU37" i="4" s="1"/>
  <c r="BV37" i="4" s="1"/>
  <c r="BW37" i="4" s="1"/>
  <c r="BX37" i="4" s="1"/>
  <c r="BY37" i="4" s="1"/>
  <c r="BZ37" i="4" s="1"/>
  <c r="CA37" i="4" s="1"/>
  <c r="BP38" i="4"/>
  <c r="BQ38" i="4" s="1"/>
  <c r="BR38" i="4" s="1"/>
  <c r="BS38" i="4" s="1"/>
  <c r="BT38" i="4" s="1"/>
  <c r="BU38" i="4" s="1"/>
  <c r="BV38" i="4" s="1"/>
  <c r="BW38" i="4" s="1"/>
  <c r="BX38" i="4" s="1"/>
  <c r="BY38" i="4" s="1"/>
  <c r="BZ38" i="4" s="1"/>
  <c r="CA38" i="4" s="1"/>
  <c r="BP19" i="4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H75" i="4"/>
  <c r="G49" i="4"/>
  <c r="K25" i="6"/>
  <c r="K13" i="6"/>
  <c r="K12" i="6"/>
  <c r="L29" i="6"/>
  <c r="J25" i="4"/>
  <c r="K24" i="6"/>
  <c r="BP18" i="4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J21" i="4"/>
  <c r="CF10" i="4"/>
  <c r="CK12" i="4"/>
  <c r="CF12" i="4"/>
  <c r="CA10" i="4"/>
  <c r="CA12" i="4"/>
  <c r="CI12" i="4"/>
  <c r="CI10" i="4"/>
  <c r="CC12" i="4"/>
  <c r="CC10" i="4"/>
  <c r="CB10" i="4"/>
  <c r="CB12" i="4"/>
  <c r="CG12" i="4"/>
  <c r="CG10" i="4"/>
  <c r="CL10" i="4"/>
  <c r="CL12" i="4"/>
  <c r="CJ12" i="4"/>
  <c r="CJ10" i="4"/>
  <c r="CW32" i="4"/>
  <c r="CW30" i="4"/>
  <c r="CR32" i="4"/>
  <c r="CR30" i="4"/>
  <c r="CD12" i="4"/>
  <c r="CD10" i="4"/>
  <c r="CH12" i="4"/>
  <c r="CH10" i="4"/>
  <c r="CE12" i="4"/>
  <c r="CE10" i="4"/>
  <c r="CG30" i="4"/>
  <c r="CJ42" i="4"/>
  <c r="CW42" i="4"/>
  <c r="CR42" i="4"/>
  <c r="CS5" i="4"/>
  <c r="CG42" i="4"/>
  <c r="CG32" i="4"/>
  <c r="L9" i="4"/>
  <c r="L16" i="4" s="1"/>
  <c r="I26" i="4"/>
  <c r="I39" i="4" s="1"/>
  <c r="CH42" i="4"/>
  <c r="CD42" i="4"/>
  <c r="CB42" i="4"/>
  <c r="CL42" i="4"/>
  <c r="CW45" i="4"/>
  <c r="CR45" i="4"/>
  <c r="CE42" i="4"/>
  <c r="CL30" i="4"/>
  <c r="H39" i="4"/>
  <c r="I29" i="4"/>
  <c r="CX5" i="4"/>
  <c r="CL32" i="4"/>
  <c r="J24" i="4"/>
  <c r="CM5" i="4"/>
  <c r="CM42" i="4" s="1"/>
  <c r="CA32" i="4"/>
  <c r="CA30" i="4"/>
  <c r="L52" i="4"/>
  <c r="M7" i="4"/>
  <c r="M74" i="4" s="1"/>
  <c r="M72" i="4" s="1"/>
  <c r="P36" i="4"/>
  <c r="CC32" i="4"/>
  <c r="CC30" i="4"/>
  <c r="CO5" i="4"/>
  <c r="CA42" i="4"/>
  <c r="CI30" i="4"/>
  <c r="CI32" i="4"/>
  <c r="CU5" i="4"/>
  <c r="I33" i="4"/>
  <c r="J31" i="4"/>
  <c r="CJ30" i="4"/>
  <c r="CJ32" i="4"/>
  <c r="CV5" i="4"/>
  <c r="K53" i="4"/>
  <c r="CH30" i="4"/>
  <c r="CH32" i="4"/>
  <c r="CT5" i="4"/>
  <c r="CI42" i="4"/>
  <c r="K17" i="4"/>
  <c r="K25" i="4" s="1"/>
  <c r="L11" i="4"/>
  <c r="J23" i="4"/>
  <c r="K20" i="4"/>
  <c r="K22" i="4"/>
  <c r="CC42" i="4"/>
  <c r="CB32" i="4"/>
  <c r="CN5" i="4"/>
  <c r="CB30" i="4"/>
  <c r="CE30" i="4"/>
  <c r="CQ5" i="4"/>
  <c r="CQ42" i="4" s="1"/>
  <c r="CE32" i="4"/>
  <c r="CD32" i="4"/>
  <c r="CD30" i="4"/>
  <c r="CP5" i="4"/>
  <c r="M32" i="6" l="1"/>
  <c r="L25" i="6"/>
  <c r="L12" i="6"/>
  <c r="M29" i="6"/>
  <c r="CB18" i="4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B19" i="4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H76" i="4"/>
  <c r="H77" i="4" s="1"/>
  <c r="I73" i="4" s="1"/>
  <c r="CB37" i="4"/>
  <c r="CC37" i="4" s="1"/>
  <c r="CD37" i="4" s="1"/>
  <c r="CE37" i="4" s="1"/>
  <c r="CF37" i="4" s="1"/>
  <c r="CG37" i="4" s="1"/>
  <c r="CH37" i="4" s="1"/>
  <c r="CI37" i="4" s="1"/>
  <c r="CJ37" i="4" s="1"/>
  <c r="CK37" i="4" s="1"/>
  <c r="CL37" i="4" s="1"/>
  <c r="CM37" i="4" s="1"/>
  <c r="CB38" i="4"/>
  <c r="CC38" i="4" s="1"/>
  <c r="CD38" i="4" s="1"/>
  <c r="CE38" i="4" s="1"/>
  <c r="CF38" i="4" s="1"/>
  <c r="CG38" i="4" s="1"/>
  <c r="CH38" i="4" s="1"/>
  <c r="CI38" i="4" s="1"/>
  <c r="CJ38" i="4" s="1"/>
  <c r="CK38" i="4" s="1"/>
  <c r="CL38" i="4" s="1"/>
  <c r="CM38" i="4" s="1"/>
  <c r="H40" i="4"/>
  <c r="H43" i="4" s="1"/>
  <c r="L24" i="6"/>
  <c r="L13" i="6"/>
  <c r="CN45" i="4"/>
  <c r="CQ45" i="4"/>
  <c r="CN42" i="4"/>
  <c r="CR12" i="4"/>
  <c r="CR10" i="4"/>
  <c r="CO45" i="4"/>
  <c r="K21" i="4"/>
  <c r="CP45" i="4"/>
  <c r="CP42" i="4"/>
  <c r="CM45" i="4"/>
  <c r="N32" i="6" s="1"/>
  <c r="CO42" i="4"/>
  <c r="CV10" i="4"/>
  <c r="CV32" i="4"/>
  <c r="CV12" i="4"/>
  <c r="CV30" i="4"/>
  <c r="CQ10" i="4"/>
  <c r="CQ32" i="4"/>
  <c r="CQ30" i="4"/>
  <c r="CQ12" i="4"/>
  <c r="CO10" i="4"/>
  <c r="CO32" i="4"/>
  <c r="CO30" i="4"/>
  <c r="CO12" i="4"/>
  <c r="CP10" i="4"/>
  <c r="CP32" i="4"/>
  <c r="CP30" i="4"/>
  <c r="CP12" i="4"/>
  <c r="CW12" i="4"/>
  <c r="CX12" i="4"/>
  <c r="CX10" i="4"/>
  <c r="CX32" i="4"/>
  <c r="CX30" i="4"/>
  <c r="CM10" i="4"/>
  <c r="CM30" i="4"/>
  <c r="CM12" i="4"/>
  <c r="CM32" i="4"/>
  <c r="CS10" i="4"/>
  <c r="CS32" i="4"/>
  <c r="CS30" i="4"/>
  <c r="CS12" i="4"/>
  <c r="CW10" i="4"/>
  <c r="CU10" i="4"/>
  <c r="CU32" i="4"/>
  <c r="CU12" i="4"/>
  <c r="CU30" i="4"/>
  <c r="CN10" i="4"/>
  <c r="CN32" i="4"/>
  <c r="CN30" i="4"/>
  <c r="CN12" i="4"/>
  <c r="CT10" i="4"/>
  <c r="CT32" i="4"/>
  <c r="CT30" i="4"/>
  <c r="CT12" i="4"/>
  <c r="CS42" i="4"/>
  <c r="CV42" i="4"/>
  <c r="CX42" i="4"/>
  <c r="CS45" i="4"/>
  <c r="M9" i="4"/>
  <c r="M16" i="4" s="1"/>
  <c r="CU45" i="4"/>
  <c r="CX45" i="4"/>
  <c r="J26" i="4"/>
  <c r="CU42" i="4"/>
  <c r="CV45" i="4"/>
  <c r="CT45" i="4"/>
  <c r="CT42" i="4"/>
  <c r="J29" i="4"/>
  <c r="K24" i="4"/>
  <c r="Q36" i="4"/>
  <c r="R36" i="4" s="1"/>
  <c r="G23" i="6" s="1"/>
  <c r="K31" i="4"/>
  <c r="M52" i="4"/>
  <c r="N7" i="4"/>
  <c r="N74" i="4" s="1"/>
  <c r="N72" i="4" s="1"/>
  <c r="L22" i="4"/>
  <c r="L31" i="4" s="1"/>
  <c r="L20" i="4"/>
  <c r="L53" i="4"/>
  <c r="K23" i="4"/>
  <c r="J33" i="4"/>
  <c r="M11" i="4"/>
  <c r="L17" i="4"/>
  <c r="I40" i="4"/>
  <c r="I43" i="4" s="1"/>
  <c r="N29" i="6" l="1"/>
  <c r="H49" i="4"/>
  <c r="M13" i="6"/>
  <c r="CN38" i="4"/>
  <c r="CO38" i="4" s="1"/>
  <c r="CP38" i="4" s="1"/>
  <c r="CQ38" i="4" s="1"/>
  <c r="CR38" i="4" s="1"/>
  <c r="CS38" i="4" s="1"/>
  <c r="CT38" i="4" s="1"/>
  <c r="CU38" i="4" s="1"/>
  <c r="CV38" i="4" s="1"/>
  <c r="CW38" i="4" s="1"/>
  <c r="CX38" i="4" s="1"/>
  <c r="CN37" i="4"/>
  <c r="CO37" i="4" s="1"/>
  <c r="CP37" i="4" s="1"/>
  <c r="CQ37" i="4" s="1"/>
  <c r="CR37" i="4" s="1"/>
  <c r="CS37" i="4" s="1"/>
  <c r="CT37" i="4" s="1"/>
  <c r="CU37" i="4" s="1"/>
  <c r="CV37" i="4" s="1"/>
  <c r="CW37" i="4" s="1"/>
  <c r="CX37" i="4" s="1"/>
  <c r="M24" i="6"/>
  <c r="I71" i="4"/>
  <c r="M25" i="6"/>
  <c r="H46" i="4"/>
  <c r="CN18" i="4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M12" i="6"/>
  <c r="L21" i="4"/>
  <c r="I49" i="4"/>
  <c r="N9" i="4"/>
  <c r="N16" i="4" s="1"/>
  <c r="J39" i="4"/>
  <c r="K26" i="4"/>
  <c r="I46" i="4"/>
  <c r="K33" i="4"/>
  <c r="M53" i="4"/>
  <c r="M17" i="4"/>
  <c r="N11" i="4"/>
  <c r="K29" i="4"/>
  <c r="L23" i="4"/>
  <c r="N52" i="4"/>
  <c r="O7" i="4"/>
  <c r="O74" i="4" s="1"/>
  <c r="O72" i="4" s="1"/>
  <c r="M22" i="4"/>
  <c r="M31" i="4" s="1"/>
  <c r="M20" i="4"/>
  <c r="L24" i="4"/>
  <c r="L25" i="4"/>
  <c r="N25" i="6" l="1"/>
  <c r="N24" i="6"/>
  <c r="N12" i="6"/>
  <c r="I75" i="4"/>
  <c r="J40" i="4"/>
  <c r="J43" i="4" s="1"/>
  <c r="J49" i="4" s="1"/>
  <c r="O9" i="4"/>
  <c r="O16" i="4" s="1"/>
  <c r="L26" i="4"/>
  <c r="K39" i="4"/>
  <c r="K40" i="4" s="1"/>
  <c r="K43" i="4" s="1"/>
  <c r="O11" i="4"/>
  <c r="N17" i="4"/>
  <c r="N25" i="4" s="1"/>
  <c r="M23" i="4"/>
  <c r="M33" i="4" s="1"/>
  <c r="S36" i="4"/>
  <c r="P7" i="4"/>
  <c r="P74" i="4" s="1"/>
  <c r="P72" i="4" s="1"/>
  <c r="O52" i="4"/>
  <c r="N53" i="4"/>
  <c r="N22" i="4"/>
  <c r="N20" i="4"/>
  <c r="L33" i="4"/>
  <c r="M24" i="4"/>
  <c r="M25" i="4"/>
  <c r="L29" i="4"/>
  <c r="J46" i="4" l="1"/>
  <c r="M21" i="4"/>
  <c r="M29" i="4" s="1"/>
  <c r="I76" i="4"/>
  <c r="I77" i="4" s="1"/>
  <c r="J73" i="4" s="1"/>
  <c r="N21" i="4"/>
  <c r="P9" i="4"/>
  <c r="P16" i="4" s="1"/>
  <c r="K49" i="4"/>
  <c r="K46" i="4"/>
  <c r="L39" i="4"/>
  <c r="L40" i="4" s="1"/>
  <c r="L43" i="4" s="1"/>
  <c r="P11" i="4"/>
  <c r="O17" i="4"/>
  <c r="N31" i="4"/>
  <c r="T36" i="4"/>
  <c r="O22" i="4"/>
  <c r="O20" i="4"/>
  <c r="N24" i="4"/>
  <c r="P52" i="4"/>
  <c r="Q7" i="4"/>
  <c r="Q74" i="4" s="1"/>
  <c r="Q72" i="4" s="1"/>
  <c r="N23" i="4"/>
  <c r="O53" i="4"/>
  <c r="M26" i="4" l="1"/>
  <c r="M39" i="4" s="1"/>
  <c r="M40" i="4" s="1"/>
  <c r="M43" i="4" s="1"/>
  <c r="J71" i="4"/>
  <c r="Q9" i="4"/>
  <c r="R9" i="4" s="1"/>
  <c r="R16" i="4" s="1"/>
  <c r="L49" i="4"/>
  <c r="L46" i="4"/>
  <c r="N26" i="4"/>
  <c r="O31" i="4"/>
  <c r="Q11" i="4"/>
  <c r="P17" i="4"/>
  <c r="N33" i="4"/>
  <c r="N29" i="4"/>
  <c r="O23" i="4"/>
  <c r="U36" i="4"/>
  <c r="O24" i="4"/>
  <c r="P22" i="4"/>
  <c r="P31" i="4" s="1"/>
  <c r="P20" i="4"/>
  <c r="Q52" i="4"/>
  <c r="R7" i="4"/>
  <c r="P53" i="4"/>
  <c r="O25" i="4"/>
  <c r="O21" i="4" l="1"/>
  <c r="O29" i="4" s="1"/>
  <c r="J75" i="4"/>
  <c r="R74" i="4"/>
  <c r="R72" i="4" s="1"/>
  <c r="G8" i="6"/>
  <c r="M49" i="4"/>
  <c r="Q16" i="4"/>
  <c r="N39" i="4"/>
  <c r="N40" i="4" s="1"/>
  <c r="N43" i="4" s="1"/>
  <c r="M46" i="4"/>
  <c r="P23" i="4"/>
  <c r="P33" i="4" s="1"/>
  <c r="V36" i="4"/>
  <c r="O33" i="4"/>
  <c r="R52" i="4"/>
  <c r="S7" i="4"/>
  <c r="S74" i="4" s="1"/>
  <c r="S72" i="4" s="1"/>
  <c r="Q53" i="4"/>
  <c r="P24" i="4"/>
  <c r="S9" i="4"/>
  <c r="R11" i="4"/>
  <c r="Q17" i="4"/>
  <c r="P25" i="4"/>
  <c r="O26" i="4" l="1"/>
  <c r="O39" i="4" s="1"/>
  <c r="O40" i="4" s="1"/>
  <c r="O43" i="4" s="1"/>
  <c r="P21" i="4"/>
  <c r="P29" i="4" s="1"/>
  <c r="J76" i="4"/>
  <c r="J77" i="4" s="1"/>
  <c r="K73" i="4" s="1"/>
  <c r="Q22" i="4"/>
  <c r="Q31" i="4" s="1"/>
  <c r="G39" i="6"/>
  <c r="G61" i="6"/>
  <c r="G10" i="6"/>
  <c r="T9" i="4"/>
  <c r="T16" i="4" s="1"/>
  <c r="S16" i="4"/>
  <c r="Q20" i="4"/>
  <c r="Q21" i="4" s="1"/>
  <c r="N49" i="4"/>
  <c r="N46" i="4"/>
  <c r="R22" i="4"/>
  <c r="R20" i="4"/>
  <c r="R17" i="4"/>
  <c r="G11" i="6" s="1"/>
  <c r="S11" i="4"/>
  <c r="R53" i="4"/>
  <c r="S52" i="4"/>
  <c r="T7" i="4"/>
  <c r="T74" i="4" s="1"/>
  <c r="T72" i="4" s="1"/>
  <c r="Q23" i="4"/>
  <c r="W36" i="4"/>
  <c r="Q25" i="4"/>
  <c r="Q24" i="4"/>
  <c r="G14" i="6" l="1"/>
  <c r="G15" i="6" s="1"/>
  <c r="P26" i="4"/>
  <c r="P39" i="4" s="1"/>
  <c r="P40" i="4" s="1"/>
  <c r="R31" i="4"/>
  <c r="G16" i="6"/>
  <c r="K71" i="4"/>
  <c r="G59" i="6"/>
  <c r="G40" i="6"/>
  <c r="Q26" i="4"/>
  <c r="Q39" i="4" s="1"/>
  <c r="Q40" i="4" s="1"/>
  <c r="Q43" i="4" s="1"/>
  <c r="O49" i="4"/>
  <c r="O46" i="4"/>
  <c r="R23" i="4"/>
  <c r="R25" i="4"/>
  <c r="G19" i="6" s="1"/>
  <c r="T52" i="4"/>
  <c r="U7" i="4"/>
  <c r="U74" i="4" s="1"/>
  <c r="U72" i="4" s="1"/>
  <c r="X36" i="4"/>
  <c r="Q29" i="4"/>
  <c r="S22" i="4"/>
  <c r="S20" i="4"/>
  <c r="R24" i="4"/>
  <c r="G18" i="6" s="1"/>
  <c r="Q33" i="4"/>
  <c r="S53" i="4"/>
  <c r="U9" i="4"/>
  <c r="T11" i="4"/>
  <c r="S17" i="4"/>
  <c r="R21" i="4" l="1"/>
  <c r="R29" i="4" s="1"/>
  <c r="K75" i="4"/>
  <c r="K76" i="4" s="1"/>
  <c r="K77" i="4" s="1"/>
  <c r="L73" i="4" s="1"/>
  <c r="R33" i="4"/>
  <c r="G17" i="6"/>
  <c r="G20" i="6" s="1"/>
  <c r="Q49" i="4"/>
  <c r="P43" i="4"/>
  <c r="Q46" i="4"/>
  <c r="U52" i="4"/>
  <c r="V7" i="4"/>
  <c r="V74" i="4" s="1"/>
  <c r="V72" i="4" s="1"/>
  <c r="S23" i="4"/>
  <c r="S21" i="4" s="1"/>
  <c r="T53" i="4"/>
  <c r="U11" i="4"/>
  <c r="T17" i="4"/>
  <c r="U16" i="4"/>
  <c r="V9" i="4"/>
  <c r="T22" i="4"/>
  <c r="T31" i="4" s="1"/>
  <c r="T20" i="4"/>
  <c r="S24" i="4"/>
  <c r="S25" i="4"/>
  <c r="S31" i="4"/>
  <c r="Y36" i="4"/>
  <c r="R26" i="4" l="1"/>
  <c r="R39" i="4" s="1"/>
  <c r="L71" i="4"/>
  <c r="L75" i="4" s="1"/>
  <c r="L76" i="4" s="1"/>
  <c r="L77" i="4" s="1"/>
  <c r="M73" i="4" s="1"/>
  <c r="M71" i="4" s="1"/>
  <c r="M75" i="4" s="1"/>
  <c r="T24" i="4"/>
  <c r="P49" i="4"/>
  <c r="T25" i="4"/>
  <c r="S26" i="4"/>
  <c r="P46" i="4"/>
  <c r="S29" i="4"/>
  <c r="S33" i="4"/>
  <c r="Z36" i="4"/>
  <c r="V16" i="4"/>
  <c r="W9" i="4"/>
  <c r="T23" i="4"/>
  <c r="V52" i="4"/>
  <c r="W7" i="4"/>
  <c r="W74" i="4" s="1"/>
  <c r="W72" i="4" s="1"/>
  <c r="U53" i="4"/>
  <c r="U20" i="4"/>
  <c r="U22" i="4"/>
  <c r="U31" i="4" s="1"/>
  <c r="V11" i="4"/>
  <c r="U17" i="4"/>
  <c r="T21" i="4" l="1"/>
  <c r="T26" i="4" s="1"/>
  <c r="R40" i="4"/>
  <c r="R43" i="4" s="1"/>
  <c r="R49" i="4" s="1"/>
  <c r="G26" i="6"/>
  <c r="G27" i="6" s="1"/>
  <c r="G30" i="6" s="1"/>
  <c r="M76" i="4"/>
  <c r="S39" i="4"/>
  <c r="W52" i="4"/>
  <c r="X7" i="4"/>
  <c r="X74" i="4" s="1"/>
  <c r="X72" i="4" s="1"/>
  <c r="V20" i="4"/>
  <c r="V22" i="4"/>
  <c r="U23" i="4"/>
  <c r="U33" i="4" s="1"/>
  <c r="U24" i="4"/>
  <c r="V53" i="4"/>
  <c r="T33" i="4"/>
  <c r="W11" i="4"/>
  <c r="V17" i="4"/>
  <c r="V24" i="4" s="1"/>
  <c r="W16" i="4"/>
  <c r="X9" i="4"/>
  <c r="AA36" i="4"/>
  <c r="U25" i="4"/>
  <c r="T29" i="4" l="1"/>
  <c r="R46" i="4"/>
  <c r="U21" i="4"/>
  <c r="S40" i="4"/>
  <c r="S43" i="4" s="1"/>
  <c r="G33" i="6"/>
  <c r="G36" i="6"/>
  <c r="G48" i="4"/>
  <c r="G54" i="4" s="1"/>
  <c r="G55" i="4" s="1"/>
  <c r="G56" i="4" s="1"/>
  <c r="G58" i="4" s="1"/>
  <c r="M77" i="4"/>
  <c r="N73" i="4" s="1"/>
  <c r="N71" i="4" s="1"/>
  <c r="N75" i="4" s="1"/>
  <c r="T39" i="4"/>
  <c r="T40" i="4" s="1"/>
  <c r="T43" i="4" s="1"/>
  <c r="U26" i="4"/>
  <c r="V31" i="4"/>
  <c r="W22" i="4"/>
  <c r="W20" i="4"/>
  <c r="AB36" i="4"/>
  <c r="V23" i="4"/>
  <c r="V21" i="4" s="1"/>
  <c r="X52" i="4"/>
  <c r="Y7" i="4"/>
  <c r="Y74" i="4" s="1"/>
  <c r="Y72" i="4" s="1"/>
  <c r="U29" i="4"/>
  <c r="V25" i="4"/>
  <c r="W53" i="4"/>
  <c r="X16" i="4"/>
  <c r="Y9" i="4"/>
  <c r="W17" i="4"/>
  <c r="X11" i="4"/>
  <c r="S49" i="4" l="1"/>
  <c r="G80" i="4"/>
  <c r="G108" i="4" s="1"/>
  <c r="G113" i="4" s="1"/>
  <c r="S46" i="4"/>
  <c r="H48" i="4"/>
  <c r="H54" i="4" s="1"/>
  <c r="H55" i="4" s="1"/>
  <c r="H56" i="4" s="1"/>
  <c r="H58" i="4" s="1"/>
  <c r="T49" i="4"/>
  <c r="T46" i="4"/>
  <c r="V26" i="4"/>
  <c r="U39" i="4"/>
  <c r="W25" i="4"/>
  <c r="W21" i="4" s="1"/>
  <c r="W24" i="4"/>
  <c r="V33" i="4"/>
  <c r="V29" i="4"/>
  <c r="W31" i="4"/>
  <c r="X22" i="4"/>
  <c r="X20" i="4"/>
  <c r="Y16" i="4"/>
  <c r="Z9" i="4"/>
  <c r="X53" i="4"/>
  <c r="AC36" i="4"/>
  <c r="X17" i="4"/>
  <c r="X25" i="4" s="1"/>
  <c r="Y11" i="4"/>
  <c r="W23" i="4"/>
  <c r="Y52" i="4"/>
  <c r="Z7" i="4"/>
  <c r="Z74" i="4" s="1"/>
  <c r="Z72" i="4" s="1"/>
  <c r="G97" i="4" l="1"/>
  <c r="U40" i="4"/>
  <c r="U43" i="4" s="1"/>
  <c r="H80" i="4"/>
  <c r="I48" i="4"/>
  <c r="I54" i="4" s="1"/>
  <c r="I55" i="4" s="1"/>
  <c r="I56" i="4" s="1"/>
  <c r="I58" i="4" s="1"/>
  <c r="X21" i="4"/>
  <c r="G116" i="4"/>
  <c r="G117" i="4" s="1"/>
  <c r="W29" i="4"/>
  <c r="V39" i="4"/>
  <c r="V40" i="4" s="1"/>
  <c r="V43" i="4" s="1"/>
  <c r="W26" i="4"/>
  <c r="X31" i="4"/>
  <c r="Y53" i="4"/>
  <c r="Y17" i="4"/>
  <c r="Z11" i="4"/>
  <c r="X23" i="4"/>
  <c r="W33" i="4"/>
  <c r="Y22" i="4"/>
  <c r="Y20" i="4"/>
  <c r="Z16" i="4"/>
  <c r="AA9" i="4"/>
  <c r="X24" i="4"/>
  <c r="AD36" i="4"/>
  <c r="H23" i="6" s="1"/>
  <c r="Z52" i="4"/>
  <c r="AA7" i="4"/>
  <c r="AA74" i="4" s="1"/>
  <c r="AA72" i="4" s="1"/>
  <c r="G121" i="4" l="1"/>
  <c r="G122" i="4"/>
  <c r="G112" i="4"/>
  <c r="G114" i="4" s="1"/>
  <c r="G107" i="4"/>
  <c r="H89" i="4"/>
  <c r="H97" i="4"/>
  <c r="U46" i="4"/>
  <c r="U49" i="4"/>
  <c r="I80" i="4"/>
  <c r="I107" i="4" s="1"/>
  <c r="J48" i="4"/>
  <c r="J54" i="4" s="1"/>
  <c r="J55" i="4" s="1"/>
  <c r="J56" i="4" s="1"/>
  <c r="J58" i="4" s="1"/>
  <c r="N76" i="4"/>
  <c r="V49" i="4"/>
  <c r="V46" i="4"/>
  <c r="X26" i="4"/>
  <c r="W39" i="4"/>
  <c r="W40" i="4" s="1"/>
  <c r="W43" i="4" s="1"/>
  <c r="X33" i="4"/>
  <c r="AA16" i="4"/>
  <c r="AB9" i="4"/>
  <c r="AA52" i="4"/>
  <c r="AB7" i="4"/>
  <c r="AB74" i="4" s="1"/>
  <c r="AB72" i="4" s="1"/>
  <c r="Z22" i="4"/>
  <c r="Z20" i="4"/>
  <c r="AA11" i="4"/>
  <c r="Z17" i="4"/>
  <c r="Z25" i="4" s="1"/>
  <c r="Y23" i="4"/>
  <c r="Y24" i="4"/>
  <c r="AE36" i="4"/>
  <c r="Z53" i="4"/>
  <c r="Y25" i="4"/>
  <c r="Y21" i="4" s="1"/>
  <c r="Y31" i="4"/>
  <c r="X29" i="4"/>
  <c r="H112" i="4" l="1"/>
  <c r="H107" i="4"/>
  <c r="G110" i="4"/>
  <c r="G109" i="4"/>
  <c r="H105" i="4" s="1"/>
  <c r="H106" i="4" s="1"/>
  <c r="H108" i="4" s="1"/>
  <c r="I89" i="4"/>
  <c r="I97" i="4"/>
  <c r="I112" i="4" s="1"/>
  <c r="J80" i="4"/>
  <c r="J107" i="4" s="1"/>
  <c r="K48" i="4"/>
  <c r="K54" i="4" s="1"/>
  <c r="Z21" i="4"/>
  <c r="N77" i="4"/>
  <c r="O73" i="4" s="1"/>
  <c r="O71" i="4" s="1"/>
  <c r="O75" i="4" s="1"/>
  <c r="W49" i="4"/>
  <c r="Y26" i="4"/>
  <c r="X39" i="4"/>
  <c r="Y29" i="4"/>
  <c r="Y33" i="4"/>
  <c r="W46" i="4"/>
  <c r="Z24" i="4"/>
  <c r="AB11" i="4"/>
  <c r="AA17" i="4"/>
  <c r="AF36" i="4"/>
  <c r="Z23" i="4"/>
  <c r="Z33" i="4" s="1"/>
  <c r="AA53" i="4"/>
  <c r="AB52" i="4"/>
  <c r="AC7" i="4"/>
  <c r="AC74" i="4" s="1"/>
  <c r="AC72" i="4" s="1"/>
  <c r="Z31" i="4"/>
  <c r="AB16" i="4"/>
  <c r="AC9" i="4"/>
  <c r="AA20" i="4"/>
  <c r="AA22" i="4"/>
  <c r="AA31" i="4" s="1"/>
  <c r="H109" i="4" l="1"/>
  <c r="I105" i="4" s="1"/>
  <c r="I106" i="4" s="1"/>
  <c r="I108" i="4" s="1"/>
  <c r="H113" i="4"/>
  <c r="H114" i="4" s="1"/>
  <c r="H110" i="4"/>
  <c r="J89" i="4"/>
  <c r="J97" i="4"/>
  <c r="J112" i="4" s="1"/>
  <c r="X40" i="4"/>
  <c r="X43" i="4" s="1"/>
  <c r="Z26" i="4"/>
  <c r="Y39" i="4"/>
  <c r="Y40" i="4" s="1"/>
  <c r="Y43" i="4" s="1"/>
  <c r="AA23" i="4"/>
  <c r="AC16" i="4"/>
  <c r="AD9" i="4"/>
  <c r="AB22" i="4"/>
  <c r="AB20" i="4"/>
  <c r="K55" i="4"/>
  <c r="K56" i="4" s="1"/>
  <c r="K58" i="4" s="1"/>
  <c r="AB17" i="4"/>
  <c r="AB24" i="4" s="1"/>
  <c r="AC11" i="4"/>
  <c r="AB53" i="4"/>
  <c r="Z29" i="4"/>
  <c r="AC52" i="4"/>
  <c r="AD7" i="4"/>
  <c r="AA25" i="4"/>
  <c r="AA24" i="4"/>
  <c r="AG36" i="4"/>
  <c r="I109" i="4" l="1"/>
  <c r="J105" i="4" s="1"/>
  <c r="J106" i="4" s="1"/>
  <c r="J108" i="4" s="1"/>
  <c r="I113" i="4"/>
  <c r="I114" i="4" s="1"/>
  <c r="I110" i="4"/>
  <c r="H116" i="4"/>
  <c r="H117" i="4" s="1"/>
  <c r="X49" i="4"/>
  <c r="L48" i="4"/>
  <c r="L54" i="4" s="1"/>
  <c r="L55" i="4" s="1"/>
  <c r="L56" i="4" s="1"/>
  <c r="L58" i="4" s="1"/>
  <c r="X46" i="4"/>
  <c r="AA21" i="4"/>
  <c r="AA29" i="4" s="1"/>
  <c r="M48" i="4"/>
  <c r="M54" i="4" s="1"/>
  <c r="M55" i="4" s="1"/>
  <c r="M56" i="4" s="1"/>
  <c r="M58" i="4" s="1"/>
  <c r="AD74" i="4"/>
  <c r="AD72" i="4" s="1"/>
  <c r="H8" i="6"/>
  <c r="K80" i="4"/>
  <c r="K107" i="4" s="1"/>
  <c r="Y49" i="4"/>
  <c r="Y46" i="4"/>
  <c r="Z39" i="4"/>
  <c r="Z40" i="4" s="1"/>
  <c r="Z43" i="4" s="1"/>
  <c r="AB31" i="4"/>
  <c r="AE9" i="4"/>
  <c r="AD16" i="4"/>
  <c r="H10" i="6" s="1"/>
  <c r="AA33" i="4"/>
  <c r="AC53" i="4"/>
  <c r="AD52" i="4"/>
  <c r="AE7" i="4"/>
  <c r="AE74" i="4" s="1"/>
  <c r="AE72" i="4" s="1"/>
  <c r="AC17" i="4"/>
  <c r="AD11" i="4"/>
  <c r="AB23" i="4"/>
  <c r="AC22" i="4"/>
  <c r="AC20" i="4"/>
  <c r="AH36" i="4"/>
  <c r="AB25" i="4"/>
  <c r="AB21" i="4" s="1"/>
  <c r="H121" i="4" l="1"/>
  <c r="H122" i="4"/>
  <c r="J109" i="4"/>
  <c r="K105" i="4" s="1"/>
  <c r="K106" i="4" s="1"/>
  <c r="K108" i="4" s="1"/>
  <c r="J113" i="4"/>
  <c r="J114" i="4" s="1"/>
  <c r="J110" i="4"/>
  <c r="K89" i="4"/>
  <c r="K97" i="4"/>
  <c r="K112" i="4" s="1"/>
  <c r="L80" i="4"/>
  <c r="AA26" i="4"/>
  <c r="AA39" i="4" s="1"/>
  <c r="AA40" i="4" s="1"/>
  <c r="AA43" i="4" s="1"/>
  <c r="M80" i="4"/>
  <c r="N48" i="4"/>
  <c r="N54" i="4" s="1"/>
  <c r="H39" i="6"/>
  <c r="H61" i="6"/>
  <c r="O76" i="4"/>
  <c r="O77" i="4" s="1"/>
  <c r="P73" i="4" s="1"/>
  <c r="P71" i="4" s="1"/>
  <c r="P75" i="4" s="1"/>
  <c r="Z49" i="4"/>
  <c r="AB26" i="4"/>
  <c r="Z46" i="4"/>
  <c r="AC23" i="4"/>
  <c r="AE52" i="4"/>
  <c r="AF7" i="4"/>
  <c r="AB33" i="4"/>
  <c r="AD53" i="4"/>
  <c r="AC24" i="4"/>
  <c r="AC31" i="4"/>
  <c r="AB29" i="4"/>
  <c r="AD17" i="4"/>
  <c r="H11" i="6" s="1"/>
  <c r="AE11" i="4"/>
  <c r="AI36" i="4"/>
  <c r="AC25" i="4"/>
  <c r="AC21" i="4" s="1"/>
  <c r="AD20" i="4"/>
  <c r="H14" i="6" s="1"/>
  <c r="AD22" i="4"/>
  <c r="AF9" i="4"/>
  <c r="AE16" i="4"/>
  <c r="M107" i="4" l="1"/>
  <c r="K109" i="4"/>
  <c r="L105" i="4" s="1"/>
  <c r="K113" i="4"/>
  <c r="K114" i="4" s="1"/>
  <c r="L97" i="4"/>
  <c r="L112" i="4" s="1"/>
  <c r="L107" i="4"/>
  <c r="K110" i="4"/>
  <c r="M89" i="4"/>
  <c r="M97" i="4"/>
  <c r="M112" i="4" s="1"/>
  <c r="I116" i="4"/>
  <c r="I117" i="4" s="1"/>
  <c r="L89" i="4"/>
  <c r="AF74" i="4"/>
  <c r="AF72" i="4" s="1"/>
  <c r="H15" i="6"/>
  <c r="AD31" i="4"/>
  <c r="H16" i="6"/>
  <c r="H59" i="6"/>
  <c r="H40" i="6"/>
  <c r="O48" i="4"/>
  <c r="O54" i="4" s="1"/>
  <c r="AA49" i="4"/>
  <c r="AC26" i="4"/>
  <c r="AB39" i="4"/>
  <c r="AB40" i="4" s="1"/>
  <c r="AB43" i="4" s="1"/>
  <c r="AA46" i="4"/>
  <c r="AF52" i="4"/>
  <c r="AG7" i="4"/>
  <c r="AG74" i="4" s="1"/>
  <c r="AG72" i="4" s="1"/>
  <c r="AJ36" i="4"/>
  <c r="AF11" i="4"/>
  <c r="AE17" i="4"/>
  <c r="AG9" i="4"/>
  <c r="AF16" i="4"/>
  <c r="AD23" i="4"/>
  <c r="AC33" i="4"/>
  <c r="AE20" i="4"/>
  <c r="AE22" i="4"/>
  <c r="N55" i="4"/>
  <c r="N56" i="4" s="1"/>
  <c r="N58" i="4" s="1"/>
  <c r="AD25" i="4"/>
  <c r="H19" i="6" s="1"/>
  <c r="AE53" i="4"/>
  <c r="AC29" i="4"/>
  <c r="AD24" i="4"/>
  <c r="H18" i="6" s="1"/>
  <c r="I121" i="4" l="1"/>
  <c r="I122" i="4"/>
  <c r="L106" i="4"/>
  <c r="L108" i="4" s="1"/>
  <c r="L113" i="4" s="1"/>
  <c r="L114" i="4" s="1"/>
  <c r="AD21" i="4"/>
  <c r="AD29" i="4" s="1"/>
  <c r="AD33" i="4"/>
  <c r="H17" i="6"/>
  <c r="H20" i="6" s="1"/>
  <c r="AE24" i="4"/>
  <c r="N80" i="4"/>
  <c r="N107" i="4" s="1"/>
  <c r="P48" i="4"/>
  <c r="P54" i="4" s="1"/>
  <c r="P55" i="4" s="1"/>
  <c r="P56" i="4" s="1"/>
  <c r="P58" i="4" s="1"/>
  <c r="AB49" i="4"/>
  <c r="AB46" i="4"/>
  <c r="AC39" i="4"/>
  <c r="AC40" i="4" s="1"/>
  <c r="AC43" i="4" s="1"/>
  <c r="AE25" i="4"/>
  <c r="AE21" i="4" s="1"/>
  <c r="AF53" i="4"/>
  <c r="AG52" i="4"/>
  <c r="AH7" i="4"/>
  <c r="AH74" i="4" s="1"/>
  <c r="AH72" i="4" s="1"/>
  <c r="O55" i="4"/>
  <c r="O56" i="4" s="1"/>
  <c r="O58" i="4" s="1"/>
  <c r="AF17" i="4"/>
  <c r="AG11" i="4"/>
  <c r="AE31" i="4"/>
  <c r="AF22" i="4"/>
  <c r="AF20" i="4"/>
  <c r="AH9" i="4"/>
  <c r="AG16" i="4"/>
  <c r="AK36" i="4"/>
  <c r="AE23" i="4"/>
  <c r="L109" i="4" l="1"/>
  <c r="M105" i="4" s="1"/>
  <c r="L110" i="4"/>
  <c r="J116" i="4"/>
  <c r="J117" i="4" s="1"/>
  <c r="N89" i="4"/>
  <c r="N97" i="4"/>
  <c r="N112" i="4" s="1"/>
  <c r="AD26" i="4"/>
  <c r="AD39" i="4" s="1"/>
  <c r="O80" i="4"/>
  <c r="Q48" i="4"/>
  <c r="Q54" i="4" s="1"/>
  <c r="Q55" i="4" s="1"/>
  <c r="Q56" i="4" s="1"/>
  <c r="Q58" i="4" s="1"/>
  <c r="P76" i="4"/>
  <c r="P77" i="4" s="1"/>
  <c r="Q73" i="4" s="1"/>
  <c r="Q71" i="4" s="1"/>
  <c r="Q75" i="4" s="1"/>
  <c r="AE29" i="4"/>
  <c r="AC49" i="4"/>
  <c r="AC46" i="4"/>
  <c r="AE26" i="4"/>
  <c r="AF23" i="4"/>
  <c r="AG20" i="4"/>
  <c r="AG22" i="4"/>
  <c r="AL36" i="4"/>
  <c r="AF31" i="4"/>
  <c r="AE33" i="4"/>
  <c r="AI9" i="4"/>
  <c r="AH16" i="4"/>
  <c r="AF24" i="4"/>
  <c r="AF25" i="4"/>
  <c r="AI7" i="4"/>
  <c r="AI74" i="4" s="1"/>
  <c r="AI72" i="4" s="1"/>
  <c r="AH52" i="4"/>
  <c r="AG53" i="4"/>
  <c r="AG17" i="4"/>
  <c r="AG24" i="4" s="1"/>
  <c r="AH11" i="4"/>
  <c r="M106" i="4" l="1"/>
  <c r="M108" i="4"/>
  <c r="M109" i="4" s="1"/>
  <c r="N105" i="4" s="1"/>
  <c r="O97" i="4"/>
  <c r="O112" i="4" s="1"/>
  <c r="O107" i="4"/>
  <c r="J121" i="4"/>
  <c r="J122" i="4"/>
  <c r="O89" i="4"/>
  <c r="AF21" i="4"/>
  <c r="AF29" i="4" s="1"/>
  <c r="AD40" i="4"/>
  <c r="AD43" i="4" s="1"/>
  <c r="H26" i="6"/>
  <c r="H27" i="6" s="1"/>
  <c r="H30" i="6" s="1"/>
  <c r="P80" i="4"/>
  <c r="P107" i="4" s="1"/>
  <c r="AE39" i="4"/>
  <c r="AH17" i="4"/>
  <c r="AH24" i="4" s="1"/>
  <c r="AI11" i="4"/>
  <c r="AI16" i="4"/>
  <c r="AJ9" i="4"/>
  <c r="AM36" i="4"/>
  <c r="AG31" i="4"/>
  <c r="AF33" i="4"/>
  <c r="AG23" i="4"/>
  <c r="AG33" i="4" s="1"/>
  <c r="AI52" i="4"/>
  <c r="AJ7" i="4"/>
  <c r="AJ74" i="4" s="1"/>
  <c r="AJ72" i="4" s="1"/>
  <c r="AG25" i="4"/>
  <c r="AG21" i="4" s="1"/>
  <c r="AH53" i="4"/>
  <c r="AH20" i="4"/>
  <c r="AH22" i="4"/>
  <c r="AH31" i="4" s="1"/>
  <c r="N106" i="4" l="1"/>
  <c r="N108" i="4" s="1"/>
  <c r="N109" i="4"/>
  <c r="O105" i="4" s="1"/>
  <c r="M113" i="4"/>
  <c r="M114" i="4" s="1"/>
  <c r="M110" i="4"/>
  <c r="P89" i="4"/>
  <c r="P97" i="4"/>
  <c r="P112" i="4" s="1"/>
  <c r="K116" i="4"/>
  <c r="K117" i="4" s="1"/>
  <c r="AD46" i="4"/>
  <c r="AF26" i="4"/>
  <c r="AF39" i="4" s="1"/>
  <c r="AF40" i="4" s="1"/>
  <c r="AF43" i="4" s="1"/>
  <c r="AD49" i="4"/>
  <c r="R48" i="4"/>
  <c r="R54" i="4" s="1"/>
  <c r="R55" i="4" s="1"/>
  <c r="R56" i="4" s="1"/>
  <c r="R58" i="4" s="1"/>
  <c r="AE40" i="4"/>
  <c r="AE43" i="4" s="1"/>
  <c r="G35" i="6"/>
  <c r="G41" i="6" s="1"/>
  <c r="H33" i="6"/>
  <c r="H36" i="6"/>
  <c r="AG26" i="4"/>
  <c r="AJ52" i="4"/>
  <c r="AK7" i="4"/>
  <c r="AK74" i="4" s="1"/>
  <c r="AK72" i="4" s="1"/>
  <c r="AN36" i="4"/>
  <c r="AK9" i="4"/>
  <c r="AJ16" i="4"/>
  <c r="AI53" i="4"/>
  <c r="AH23" i="4"/>
  <c r="AI17" i="4"/>
  <c r="AI24" i="4" s="1"/>
  <c r="AJ11" i="4"/>
  <c r="AH25" i="4"/>
  <c r="AH21" i="4" s="1"/>
  <c r="AI22" i="4"/>
  <c r="AI31" i="4" s="1"/>
  <c r="AI20" i="4"/>
  <c r="AG29" i="4"/>
  <c r="K121" i="4" l="1"/>
  <c r="K122" i="4"/>
  <c r="O106" i="4"/>
  <c r="O108" i="4" s="1"/>
  <c r="O109" i="4"/>
  <c r="P105" i="4" s="1"/>
  <c r="N113" i="4"/>
  <c r="N114" i="4" s="1"/>
  <c r="N110" i="4"/>
  <c r="G42" i="6"/>
  <c r="G43" i="6" s="1"/>
  <c r="G45" i="6" s="1"/>
  <c r="L116" i="4"/>
  <c r="L117" i="4" s="1"/>
  <c r="AE46" i="4"/>
  <c r="S48" i="4"/>
  <c r="S54" i="4" s="1"/>
  <c r="S55" i="4" s="1"/>
  <c r="S56" i="4" s="1"/>
  <c r="S58" i="4" s="1"/>
  <c r="AE49" i="4"/>
  <c r="T48" i="4"/>
  <c r="T54" i="4" s="1"/>
  <c r="T55" i="4" s="1"/>
  <c r="T56" i="4" s="1"/>
  <c r="T58" i="4" s="1"/>
  <c r="Q76" i="4"/>
  <c r="Q77" i="4" s="1"/>
  <c r="R73" i="4" s="1"/>
  <c r="R71" i="4" s="1"/>
  <c r="AF49" i="4"/>
  <c r="AF46" i="4"/>
  <c r="AH26" i="4"/>
  <c r="AG39" i="4"/>
  <c r="AG40" i="4" s="1"/>
  <c r="AG43" i="4" s="1"/>
  <c r="AI25" i="4"/>
  <c r="AI21" i="4" s="1"/>
  <c r="AK52" i="4"/>
  <c r="AL7" i="4"/>
  <c r="AL74" i="4" s="1"/>
  <c r="AL72" i="4" s="1"/>
  <c r="AJ53" i="4"/>
  <c r="AI23" i="4"/>
  <c r="AL9" i="4"/>
  <c r="AK16" i="4"/>
  <c r="AH29" i="4"/>
  <c r="AO36" i="4"/>
  <c r="AK11" i="4"/>
  <c r="AJ17" i="4"/>
  <c r="AJ24" i="4" s="1"/>
  <c r="AH33" i="4"/>
  <c r="AJ22" i="4"/>
  <c r="AJ31" i="4" s="1"/>
  <c r="AJ20" i="4"/>
  <c r="L122" i="4" l="1"/>
  <c r="L121" i="4"/>
  <c r="P106" i="4"/>
  <c r="P108" i="4" s="1"/>
  <c r="P109" i="4"/>
  <c r="Q105" i="4" s="1"/>
  <c r="O113" i="4"/>
  <c r="O114" i="4" s="1"/>
  <c r="O110" i="4"/>
  <c r="R75" i="4"/>
  <c r="G62" i="6" s="1"/>
  <c r="G58" i="6"/>
  <c r="G65" i="6" s="1"/>
  <c r="U48" i="4"/>
  <c r="U54" i="4" s="1"/>
  <c r="U55" i="4" s="1"/>
  <c r="U56" i="4" s="1"/>
  <c r="U58" i="4" s="1"/>
  <c r="Q80" i="4"/>
  <c r="AG49" i="4"/>
  <c r="AG46" i="4"/>
  <c r="AI26" i="4"/>
  <c r="AH39" i="4"/>
  <c r="AJ25" i="4"/>
  <c r="AJ21" i="4" s="1"/>
  <c r="AK53" i="4"/>
  <c r="AI33" i="4"/>
  <c r="AK17" i="4"/>
  <c r="AL11" i="4"/>
  <c r="AI29" i="4"/>
  <c r="AP36" i="4"/>
  <c r="I23" i="6" s="1"/>
  <c r="AJ23" i="4"/>
  <c r="AK20" i="4"/>
  <c r="AK22" i="4"/>
  <c r="AM9" i="4"/>
  <c r="AL16" i="4"/>
  <c r="AL52" i="4"/>
  <c r="AM7" i="4"/>
  <c r="AM74" i="4" s="1"/>
  <c r="AM72" i="4" s="1"/>
  <c r="Q97" i="4" l="1"/>
  <c r="Q112" i="4" s="1"/>
  <c r="Q107" i="4"/>
  <c r="Q106" i="4"/>
  <c r="Q108" i="4" s="1"/>
  <c r="Q113" i="4" s="1"/>
  <c r="Q114" i="4" s="1"/>
  <c r="Q109" i="4"/>
  <c r="R105" i="4" s="1"/>
  <c r="P113" i="4"/>
  <c r="P114" i="4" s="1"/>
  <c r="P110" i="4"/>
  <c r="M116" i="4"/>
  <c r="M117" i="4" s="1"/>
  <c r="Q89" i="4"/>
  <c r="AH40" i="4"/>
  <c r="AH43" i="4" s="1"/>
  <c r="G63" i="6"/>
  <c r="G67" i="6" s="1"/>
  <c r="G83" i="6" s="1"/>
  <c r="AJ29" i="4"/>
  <c r="AJ26" i="4"/>
  <c r="AI39" i="4"/>
  <c r="AI40" i="4" s="1"/>
  <c r="AI43" i="4" s="1"/>
  <c r="AL53" i="4"/>
  <c r="AK23" i="4"/>
  <c r="AN9" i="4"/>
  <c r="AM16" i="4"/>
  <c r="AQ36" i="4"/>
  <c r="AM52" i="4"/>
  <c r="AN7" i="4"/>
  <c r="AN74" i="4" s="1"/>
  <c r="AN72" i="4" s="1"/>
  <c r="AL17" i="4"/>
  <c r="AL24" i="4" s="1"/>
  <c r="AM11" i="4"/>
  <c r="AK24" i="4"/>
  <c r="AK25" i="4"/>
  <c r="AK31" i="4"/>
  <c r="AJ33" i="4"/>
  <c r="AL22" i="4"/>
  <c r="AL20" i="4"/>
  <c r="M122" i="4" l="1"/>
  <c r="M121" i="4"/>
  <c r="Q110" i="4"/>
  <c r="R106" i="4"/>
  <c r="G92" i="6"/>
  <c r="G93" i="6"/>
  <c r="G98" i="6" s="1"/>
  <c r="G97" i="6"/>
  <c r="AH46" i="4"/>
  <c r="AH49" i="4"/>
  <c r="V48" i="4"/>
  <c r="V54" i="4" s="1"/>
  <c r="V55" i="4" s="1"/>
  <c r="V56" i="4" s="1"/>
  <c r="V58" i="4" s="1"/>
  <c r="AK21" i="4"/>
  <c r="AK29" i="4" s="1"/>
  <c r="G64" i="6"/>
  <c r="W48" i="4"/>
  <c r="W54" i="4" s="1"/>
  <c r="W55" i="4" s="1"/>
  <c r="W56" i="4" s="1"/>
  <c r="W58" i="4" s="1"/>
  <c r="N116" i="4"/>
  <c r="N117" i="4" s="1"/>
  <c r="R76" i="4"/>
  <c r="R77" i="4" s="1"/>
  <c r="S73" i="4" s="1"/>
  <c r="S71" i="4" s="1"/>
  <c r="AI49" i="4"/>
  <c r="AI46" i="4"/>
  <c r="AJ39" i="4"/>
  <c r="AJ40" i="4" s="1"/>
  <c r="AJ43" i="4" s="1"/>
  <c r="AL25" i="4"/>
  <c r="AK33" i="4"/>
  <c r="AO9" i="4"/>
  <c r="AN16" i="4"/>
  <c r="AR36" i="4"/>
  <c r="AL31" i="4"/>
  <c r="AL23" i="4"/>
  <c r="AL33" i="4" s="1"/>
  <c r="AM20" i="4"/>
  <c r="AM22" i="4"/>
  <c r="AM31" i="4" s="1"/>
  <c r="AO7" i="4"/>
  <c r="AO74" i="4" s="1"/>
  <c r="AO72" i="4" s="1"/>
  <c r="AN52" i="4"/>
  <c r="AM53" i="4"/>
  <c r="AM17" i="4"/>
  <c r="AN11" i="4"/>
  <c r="N122" i="4" l="1"/>
  <c r="N121" i="4"/>
  <c r="G94" i="6"/>
  <c r="G95" i="6"/>
  <c r="G99" i="6"/>
  <c r="H60" i="6"/>
  <c r="AK26" i="4"/>
  <c r="AK39" i="4" s="1"/>
  <c r="AK40" i="4" s="1"/>
  <c r="AK43" i="4" s="1"/>
  <c r="AL21" i="4"/>
  <c r="AL26" i="4" s="1"/>
  <c r="S75" i="4"/>
  <c r="X48" i="4"/>
  <c r="X54" i="4" s="1"/>
  <c r="X55" i="4" s="1"/>
  <c r="X56" i="4" s="1"/>
  <c r="X58" i="4" s="1"/>
  <c r="R80" i="4"/>
  <c r="R107" i="4" s="1"/>
  <c r="AJ49" i="4"/>
  <c r="AJ46" i="4"/>
  <c r="AO11" i="4"/>
  <c r="AN17" i="4"/>
  <c r="AN25" i="4" s="1"/>
  <c r="AM23" i="4"/>
  <c r="AN20" i="4"/>
  <c r="AN22" i="4"/>
  <c r="AN31" i="4" s="1"/>
  <c r="AN53" i="4"/>
  <c r="AP9" i="4"/>
  <c r="AO16" i="4"/>
  <c r="AM25" i="4"/>
  <c r="AO52" i="4"/>
  <c r="AP7" i="4"/>
  <c r="AS36" i="4"/>
  <c r="AM24" i="4"/>
  <c r="R108" i="4" l="1"/>
  <c r="R113" i="4" s="1"/>
  <c r="H90" i="6"/>
  <c r="R89" i="4"/>
  <c r="R97" i="4"/>
  <c r="R112" i="4" s="1"/>
  <c r="AL29" i="4"/>
  <c r="AM21" i="4"/>
  <c r="AM26" i="4" s="1"/>
  <c r="AN21" i="4"/>
  <c r="AP74" i="4"/>
  <c r="AP72" i="4" s="1"/>
  <c r="I8" i="6"/>
  <c r="Y48" i="4"/>
  <c r="Y54" i="4" s="1"/>
  <c r="Y55" i="4" s="1"/>
  <c r="Y56" i="4" s="1"/>
  <c r="Y58" i="4" s="1"/>
  <c r="O116" i="4"/>
  <c r="O117" i="4" s="1"/>
  <c r="AK49" i="4"/>
  <c r="AK46" i="4"/>
  <c r="AL39" i="4"/>
  <c r="AL40" i="4" s="1"/>
  <c r="AL43" i="4" s="1"/>
  <c r="AM33" i="4"/>
  <c r="AP52" i="4"/>
  <c r="AQ7" i="4"/>
  <c r="AQ74" i="4" s="1"/>
  <c r="AQ72" i="4" s="1"/>
  <c r="AO53" i="4"/>
  <c r="AN23" i="4"/>
  <c r="AT36" i="4"/>
  <c r="AP11" i="4"/>
  <c r="AO17" i="4"/>
  <c r="AO24" i="4" s="1"/>
  <c r="AO20" i="4"/>
  <c r="AO22" i="4"/>
  <c r="AO31" i="4" s="1"/>
  <c r="AQ9" i="4"/>
  <c r="AP16" i="4"/>
  <c r="I10" i="6" s="1"/>
  <c r="AN24" i="4"/>
  <c r="R109" i="4" l="1"/>
  <c r="S105" i="4" s="1"/>
  <c r="O122" i="4"/>
  <c r="O121" i="4"/>
  <c r="R114" i="4"/>
  <c r="R110" i="4"/>
  <c r="H91" i="6"/>
  <c r="G101" i="6"/>
  <c r="G102" i="6" s="1"/>
  <c r="AM29" i="4"/>
  <c r="Z48" i="4"/>
  <c r="Z54" i="4" s="1"/>
  <c r="Z55" i="4" s="1"/>
  <c r="Z56" i="4" s="1"/>
  <c r="Z58" i="4" s="1"/>
  <c r="I39" i="6"/>
  <c r="I61" i="6"/>
  <c r="I59" i="6" s="1"/>
  <c r="S76" i="4"/>
  <c r="S77" i="4" s="1"/>
  <c r="T73" i="4" s="1"/>
  <c r="T71" i="4" s="1"/>
  <c r="AO25" i="4"/>
  <c r="AO21" i="4" s="1"/>
  <c r="AN29" i="4"/>
  <c r="AL49" i="4"/>
  <c r="AL46" i="4"/>
  <c r="AN26" i="4"/>
  <c r="AM39" i="4"/>
  <c r="AM40" i="4" s="1"/>
  <c r="AM43" i="4" s="1"/>
  <c r="AN33" i="4"/>
  <c r="AP53" i="4"/>
  <c r="AU36" i="4"/>
  <c r="AP20" i="4"/>
  <c r="I14" i="6" s="1"/>
  <c r="AP22" i="4"/>
  <c r="AQ52" i="4"/>
  <c r="AR7" i="4"/>
  <c r="AR74" i="4" s="1"/>
  <c r="AR72" i="4" s="1"/>
  <c r="AQ11" i="4"/>
  <c r="AP17" i="4"/>
  <c r="AQ16" i="4"/>
  <c r="AR9" i="4"/>
  <c r="AO23" i="4"/>
  <c r="S106" i="4" l="1"/>
  <c r="G107" i="6"/>
  <c r="G106" i="6"/>
  <c r="T75" i="4"/>
  <c r="I11" i="6"/>
  <c r="I15" i="6" s="1"/>
  <c r="AP31" i="4"/>
  <c r="I16" i="6"/>
  <c r="I40" i="6"/>
  <c r="AA48" i="4"/>
  <c r="AA54" i="4" s="1"/>
  <c r="AA55" i="4" s="1"/>
  <c r="AA56" i="4" s="1"/>
  <c r="AA58" i="4" s="1"/>
  <c r="P116" i="4"/>
  <c r="P117" i="4" s="1"/>
  <c r="S80" i="4"/>
  <c r="S107" i="4" s="1"/>
  <c r="AO26" i="4"/>
  <c r="AO39" i="4" s="1"/>
  <c r="AM49" i="4"/>
  <c r="AM46" i="4"/>
  <c r="AN39" i="4"/>
  <c r="AN40" i="4" s="1"/>
  <c r="AN43" i="4" s="1"/>
  <c r="AO29" i="4"/>
  <c r="AQ17" i="4"/>
  <c r="AR11" i="4"/>
  <c r="AO33" i="4"/>
  <c r="AQ22" i="4"/>
  <c r="AQ20" i="4"/>
  <c r="AP23" i="4"/>
  <c r="I17" i="6" s="1"/>
  <c r="AV36" i="4"/>
  <c r="AR16" i="4"/>
  <c r="AS9" i="4"/>
  <c r="AQ53" i="4"/>
  <c r="AP25" i="4"/>
  <c r="I19" i="6" s="1"/>
  <c r="AR52" i="4"/>
  <c r="AS7" i="4"/>
  <c r="AS74" i="4" s="1"/>
  <c r="AS72" i="4" s="1"/>
  <c r="AP24" i="4"/>
  <c r="I18" i="6" s="1"/>
  <c r="P122" i="4" l="1"/>
  <c r="P121" i="4"/>
  <c r="S108" i="4"/>
  <c r="S113" i="4" s="1"/>
  <c r="S89" i="4"/>
  <c r="S97" i="4"/>
  <c r="S112" i="4" s="1"/>
  <c r="AP21" i="4"/>
  <c r="AP29" i="4" s="1"/>
  <c r="I20" i="6"/>
  <c r="AQ24" i="4"/>
  <c r="AB48" i="4"/>
  <c r="AB54" i="4" s="1"/>
  <c r="AB55" i="4" s="1"/>
  <c r="AB56" i="4" s="1"/>
  <c r="AB58" i="4" s="1"/>
  <c r="AQ25" i="4"/>
  <c r="AN49" i="4"/>
  <c r="AN46" i="4"/>
  <c r="AQ31" i="4"/>
  <c r="AQ23" i="4"/>
  <c r="AS52" i="4"/>
  <c r="AT7" i="4"/>
  <c r="AT74" i="4" s="1"/>
  <c r="AT72" i="4" s="1"/>
  <c r="AR53" i="4"/>
  <c r="AS11" i="4"/>
  <c r="AR17" i="4"/>
  <c r="AO40" i="4"/>
  <c r="AO43" i="4" s="1"/>
  <c r="AR20" i="4"/>
  <c r="AR22" i="4"/>
  <c r="AR31" i="4" s="1"/>
  <c r="AW36" i="4"/>
  <c r="AP33" i="4"/>
  <c r="AS16" i="4"/>
  <c r="AT9" i="4"/>
  <c r="S114" i="4" l="1"/>
  <c r="S109" i="4"/>
  <c r="T105" i="4" s="1"/>
  <c r="S110" i="4"/>
  <c r="AP26" i="4"/>
  <c r="AP39" i="4" s="1"/>
  <c r="AP40" i="4" s="1"/>
  <c r="AP43" i="4" s="1"/>
  <c r="AD48" i="4" s="1"/>
  <c r="AD54" i="4" s="1"/>
  <c r="AQ21" i="4"/>
  <c r="AQ26" i="4" s="1"/>
  <c r="AC48" i="4"/>
  <c r="AC54" i="4" s="1"/>
  <c r="Q116" i="4"/>
  <c r="Q117" i="4" s="1"/>
  <c r="T76" i="4"/>
  <c r="T77" i="4" s="1"/>
  <c r="U73" i="4" s="1"/>
  <c r="U71" i="4" s="1"/>
  <c r="AO49" i="4"/>
  <c r="AO46" i="4"/>
  <c r="AT11" i="4"/>
  <c r="AS17" i="4"/>
  <c r="AS24" i="4" s="1"/>
  <c r="AR23" i="4"/>
  <c r="AS53" i="4"/>
  <c r="AT16" i="4"/>
  <c r="AU9" i="4"/>
  <c r="AX36" i="4"/>
  <c r="AQ33" i="4"/>
  <c r="AR24" i="4"/>
  <c r="AT52" i="4"/>
  <c r="AU7" i="4"/>
  <c r="AU74" i="4" s="1"/>
  <c r="AU72" i="4" s="1"/>
  <c r="AR25" i="4"/>
  <c r="AS22" i="4"/>
  <c r="AS31" i="4" s="1"/>
  <c r="AS20" i="4"/>
  <c r="T106" i="4" l="1"/>
  <c r="Q122" i="4"/>
  <c r="Q121" i="4"/>
  <c r="I26" i="6"/>
  <c r="I27" i="6" s="1"/>
  <c r="I30" i="6" s="1"/>
  <c r="AQ29" i="4"/>
  <c r="AP46" i="4"/>
  <c r="AP49" i="4"/>
  <c r="AR21" i="4"/>
  <c r="AR29" i="4" s="1"/>
  <c r="U75" i="4"/>
  <c r="T80" i="4"/>
  <c r="T107" i="4" s="1"/>
  <c r="AQ39" i="4"/>
  <c r="AS25" i="4"/>
  <c r="AS23" i="4"/>
  <c r="AD55" i="4"/>
  <c r="AD56" i="4" s="1"/>
  <c r="AD58" i="4" s="1"/>
  <c r="AV7" i="4"/>
  <c r="AV74" i="4" s="1"/>
  <c r="AV72" i="4" s="1"/>
  <c r="AU52" i="4"/>
  <c r="AY36" i="4"/>
  <c r="AT22" i="4"/>
  <c r="AT20" i="4"/>
  <c r="AU11" i="4"/>
  <c r="AT17" i="4"/>
  <c r="AT24" i="4" s="1"/>
  <c r="AV9" i="4"/>
  <c r="AU16" i="4"/>
  <c r="AT53" i="4"/>
  <c r="AR33" i="4"/>
  <c r="AC55" i="4"/>
  <c r="AC56" i="4" s="1"/>
  <c r="AC58" i="4" s="1"/>
  <c r="T108" i="4" l="1"/>
  <c r="T113" i="4" s="1"/>
  <c r="I33" i="6"/>
  <c r="H35" i="6"/>
  <c r="H41" i="6" s="1"/>
  <c r="I36" i="6"/>
  <c r="T89" i="4"/>
  <c r="T97" i="4"/>
  <c r="T112" i="4" s="1"/>
  <c r="AR26" i="4"/>
  <c r="AR39" i="4" s="1"/>
  <c r="AR40" i="4" s="1"/>
  <c r="AR43" i="4" s="1"/>
  <c r="AS21" i="4"/>
  <c r="AS26" i="4" s="1"/>
  <c r="AQ40" i="4"/>
  <c r="AQ43" i="4" s="1"/>
  <c r="AE48" i="4" s="1"/>
  <c r="AE54" i="4" s="1"/>
  <c r="AE55" i="4" s="1"/>
  <c r="AE56" i="4" s="1"/>
  <c r="AE58" i="4" s="1"/>
  <c r="R116" i="4"/>
  <c r="R117" i="4" s="1"/>
  <c r="AS33" i="4"/>
  <c r="AT31" i="4"/>
  <c r="AT23" i="4"/>
  <c r="AZ36" i="4"/>
  <c r="AW9" i="4"/>
  <c r="AV16" i="4"/>
  <c r="AU53" i="4"/>
  <c r="AU20" i="4"/>
  <c r="AU22" i="4"/>
  <c r="AV11" i="4"/>
  <c r="AU17" i="4"/>
  <c r="AT25" i="4"/>
  <c r="AV52" i="4"/>
  <c r="AW7" i="4"/>
  <c r="AW74" i="4" s="1"/>
  <c r="AW72" i="4" s="1"/>
  <c r="R122" i="4" l="1"/>
  <c r="R121" i="4"/>
  <c r="T114" i="4"/>
  <c r="T110" i="4"/>
  <c r="T109" i="4"/>
  <c r="U105" i="4" s="1"/>
  <c r="H42" i="6"/>
  <c r="H43" i="6" s="1"/>
  <c r="H45" i="6" s="1"/>
  <c r="AQ49" i="4"/>
  <c r="AS29" i="4"/>
  <c r="AT21" i="4"/>
  <c r="AT26" i="4" s="1"/>
  <c r="AQ46" i="4"/>
  <c r="AF48" i="4"/>
  <c r="AF54" i="4" s="1"/>
  <c r="AF55" i="4" s="1"/>
  <c r="AF56" i="4" s="1"/>
  <c r="AF58" i="4" s="1"/>
  <c r="U76" i="4"/>
  <c r="U80" i="4" s="1"/>
  <c r="AR49" i="4"/>
  <c r="AR46" i="4"/>
  <c r="AS39" i="4"/>
  <c r="BA36" i="4"/>
  <c r="AT33" i="4"/>
  <c r="AV53" i="4"/>
  <c r="AV17" i="4"/>
  <c r="AW11" i="4"/>
  <c r="AW52" i="4"/>
  <c r="AX7" i="4"/>
  <c r="AX74" i="4" s="1"/>
  <c r="AX72" i="4" s="1"/>
  <c r="AU31" i="4"/>
  <c r="AU23" i="4"/>
  <c r="AU24" i="4"/>
  <c r="AU25" i="4"/>
  <c r="AU21" i="4" s="1"/>
  <c r="AV22" i="4"/>
  <c r="AV31" i="4" s="1"/>
  <c r="AV20" i="4"/>
  <c r="AW16" i="4"/>
  <c r="AX9" i="4"/>
  <c r="U107" i="4" l="1"/>
  <c r="U106" i="4"/>
  <c r="U108" i="4" s="1"/>
  <c r="U89" i="4"/>
  <c r="U97" i="4"/>
  <c r="U112" i="4" s="1"/>
  <c r="AT29" i="4"/>
  <c r="AS40" i="4"/>
  <c r="AS43" i="4" s="1"/>
  <c r="AS46" i="4" s="1"/>
  <c r="S116" i="4"/>
  <c r="S117" i="4" s="1"/>
  <c r="U77" i="4"/>
  <c r="V73" i="4" s="1"/>
  <c r="V71" i="4" s="1"/>
  <c r="AU26" i="4"/>
  <c r="AT39" i="4"/>
  <c r="AT40" i="4" s="1"/>
  <c r="AT43" i="4" s="1"/>
  <c r="AW53" i="4"/>
  <c r="AV23" i="4"/>
  <c r="AV33" i="4" s="1"/>
  <c r="AV24" i="4"/>
  <c r="AU29" i="4"/>
  <c r="AX16" i="4"/>
  <c r="AY9" i="4"/>
  <c r="AU33" i="4"/>
  <c r="AX52" i="4"/>
  <c r="AY7" i="4"/>
  <c r="AY74" i="4" s="1"/>
  <c r="AY72" i="4" s="1"/>
  <c r="AV25" i="4"/>
  <c r="AX11" i="4"/>
  <c r="AW17" i="4"/>
  <c r="AW24" i="4" s="1"/>
  <c r="BB36" i="4"/>
  <c r="J23" i="6" s="1"/>
  <c r="AW20" i="4"/>
  <c r="AW22" i="4"/>
  <c r="U113" i="4" l="1"/>
  <c r="U114" i="4" s="1"/>
  <c r="U109" i="4"/>
  <c r="V105" i="4" s="1"/>
  <c r="S122" i="4"/>
  <c r="S121" i="4"/>
  <c r="U110" i="4"/>
  <c r="AS49" i="4"/>
  <c r="AG48" i="4"/>
  <c r="AG54" i="4" s="1"/>
  <c r="AG55" i="4" s="1"/>
  <c r="AG56" i="4" s="1"/>
  <c r="AG58" i="4" s="1"/>
  <c r="AV21" i="4"/>
  <c r="AV29" i="4" s="1"/>
  <c r="V75" i="4"/>
  <c r="AH48" i="4"/>
  <c r="AH54" i="4" s="1"/>
  <c r="AH55" i="4" s="1"/>
  <c r="AH56" i="4" s="1"/>
  <c r="AH58" i="4" s="1"/>
  <c r="AT49" i="4"/>
  <c r="AT46" i="4"/>
  <c r="AU39" i="4"/>
  <c r="AU40" i="4" s="1"/>
  <c r="AU43" i="4" s="1"/>
  <c r="AW25" i="4"/>
  <c r="AX22" i="4"/>
  <c r="AX20" i="4"/>
  <c r="BC36" i="4"/>
  <c r="AW31" i="4"/>
  <c r="AW23" i="4"/>
  <c r="AY11" i="4"/>
  <c r="AX17" i="4"/>
  <c r="AX24" i="4" s="1"/>
  <c r="AY52" i="4"/>
  <c r="AZ7" i="4"/>
  <c r="AZ74" i="4" s="1"/>
  <c r="AZ72" i="4" s="1"/>
  <c r="AX53" i="4"/>
  <c r="AY16" i="4"/>
  <c r="AZ9" i="4"/>
  <c r="V106" i="4" l="1"/>
  <c r="AV26" i="4"/>
  <c r="AV39" i="4" s="1"/>
  <c r="AV40" i="4" s="1"/>
  <c r="AV43" i="4" s="1"/>
  <c r="AW21" i="4"/>
  <c r="AW29" i="4" s="1"/>
  <c r="AI48" i="4"/>
  <c r="AI54" i="4" s="1"/>
  <c r="AI55" i="4" s="1"/>
  <c r="AI56" i="4" s="1"/>
  <c r="AI58" i="4" s="1"/>
  <c r="T116" i="4"/>
  <c r="T117" i="4" s="1"/>
  <c r="AU49" i="4"/>
  <c r="AU46" i="4"/>
  <c r="AX25" i="4"/>
  <c r="BD36" i="4"/>
  <c r="AZ52" i="4"/>
  <c r="BA7" i="4"/>
  <c r="BA74" i="4" s="1"/>
  <c r="BA72" i="4" s="1"/>
  <c r="AY53" i="4"/>
  <c r="AX31" i="4"/>
  <c r="AZ16" i="4"/>
  <c r="BA9" i="4"/>
  <c r="AX23" i="4"/>
  <c r="AZ11" i="4"/>
  <c r="AY17" i="4"/>
  <c r="AY25" i="4" s="1"/>
  <c r="AW33" i="4"/>
  <c r="AY22" i="4"/>
  <c r="AY31" i="4" s="1"/>
  <c r="AY20" i="4"/>
  <c r="T122" i="4" l="1"/>
  <c r="T121" i="4"/>
  <c r="AW26" i="4"/>
  <c r="AW39" i="4" s="1"/>
  <c r="AW40" i="4" s="1"/>
  <c r="AW43" i="4" s="1"/>
  <c r="AX21" i="4"/>
  <c r="AX26" i="4" s="1"/>
  <c r="AJ48" i="4"/>
  <c r="AJ54" i="4" s="1"/>
  <c r="AJ55" i="4" s="1"/>
  <c r="AJ56" i="4" s="1"/>
  <c r="AJ58" i="4" s="1"/>
  <c r="V76" i="4"/>
  <c r="V77" i="4" s="1"/>
  <c r="W73" i="4" s="1"/>
  <c r="W71" i="4" s="1"/>
  <c r="AV49" i="4"/>
  <c r="AV46" i="4"/>
  <c r="AY24" i="4"/>
  <c r="BE36" i="4"/>
  <c r="BA16" i="4"/>
  <c r="BB9" i="4"/>
  <c r="BB7" i="4"/>
  <c r="BA52" i="4"/>
  <c r="AX33" i="4"/>
  <c r="AZ22" i="4"/>
  <c r="AZ20" i="4"/>
  <c r="AZ53" i="4"/>
  <c r="AY23" i="4"/>
  <c r="AY21" i="4" s="1"/>
  <c r="BA11" i="4"/>
  <c r="AZ17" i="4"/>
  <c r="AZ24" i="4" s="1"/>
  <c r="AX29" i="4" l="1"/>
  <c r="W75" i="4"/>
  <c r="BB74" i="4"/>
  <c r="BB72" i="4" s="1"/>
  <c r="J8" i="6"/>
  <c r="AK48" i="4"/>
  <c r="AK54" i="4" s="1"/>
  <c r="AK55" i="4" s="1"/>
  <c r="AK56" i="4" s="1"/>
  <c r="AK58" i="4" s="1"/>
  <c r="U116" i="4"/>
  <c r="U117" i="4" s="1"/>
  <c r="V80" i="4"/>
  <c r="AW49" i="4"/>
  <c r="AW46" i="4"/>
  <c r="AY26" i="4"/>
  <c r="AX39" i="4"/>
  <c r="AX40" i="4" s="1"/>
  <c r="AX43" i="4" s="1"/>
  <c r="BA22" i="4"/>
  <c r="BA31" i="4" s="1"/>
  <c r="BA20" i="4"/>
  <c r="BF36" i="4"/>
  <c r="BB11" i="4"/>
  <c r="BA17" i="4"/>
  <c r="BA24" i="4" s="1"/>
  <c r="AZ25" i="4"/>
  <c r="AZ21" i="4" s="1"/>
  <c r="AZ31" i="4"/>
  <c r="BB16" i="4"/>
  <c r="J10" i="6" s="1"/>
  <c r="BC9" i="4"/>
  <c r="AY29" i="4"/>
  <c r="AZ23" i="4"/>
  <c r="BA53" i="4"/>
  <c r="AY33" i="4"/>
  <c r="BB52" i="4"/>
  <c r="BC7" i="4"/>
  <c r="BC74" i="4" s="1"/>
  <c r="BC72" i="4" s="1"/>
  <c r="V107" i="4" l="1"/>
  <c r="V108" i="4"/>
  <c r="V113" i="4" s="1"/>
  <c r="U122" i="4"/>
  <c r="U121" i="4"/>
  <c r="V89" i="4"/>
  <c r="V97" i="4"/>
  <c r="V112" i="4" s="1"/>
  <c r="AL48" i="4"/>
  <c r="AL54" i="4" s="1"/>
  <c r="AL55" i="4" s="1"/>
  <c r="AL56" i="4" s="1"/>
  <c r="AL58" i="4" s="1"/>
  <c r="J39" i="6"/>
  <c r="J61" i="6"/>
  <c r="J59" i="6" s="1"/>
  <c r="AX49" i="4"/>
  <c r="AX46" i="4"/>
  <c r="AZ26" i="4"/>
  <c r="AY39" i="4"/>
  <c r="AY40" i="4" s="1"/>
  <c r="AY43" i="4" s="1"/>
  <c r="BB17" i="4"/>
  <c r="BC11" i="4"/>
  <c r="BB53" i="4"/>
  <c r="BA23" i="4"/>
  <c r="BA21" i="4" s="1"/>
  <c r="BD9" i="4"/>
  <c r="BC16" i="4"/>
  <c r="BG36" i="4"/>
  <c r="BA25" i="4"/>
  <c r="AZ29" i="4"/>
  <c r="AZ33" i="4"/>
  <c r="BB22" i="4"/>
  <c r="BB20" i="4"/>
  <c r="J14" i="6" s="1"/>
  <c r="BC52" i="4"/>
  <c r="BD7" i="4"/>
  <c r="BD74" i="4" s="1"/>
  <c r="BD72" i="4" s="1"/>
  <c r="V114" i="4" l="1"/>
  <c r="V110" i="4"/>
  <c r="V109" i="4"/>
  <c r="W105" i="4" s="1"/>
  <c r="BB31" i="4"/>
  <c r="J16" i="6"/>
  <c r="BB24" i="4"/>
  <c r="J18" i="6" s="1"/>
  <c r="J11" i="6"/>
  <c r="J15" i="6" s="1"/>
  <c r="J40" i="6"/>
  <c r="AM48" i="4"/>
  <c r="AM54" i="4" s="1"/>
  <c r="AM55" i="4" s="1"/>
  <c r="AM56" i="4" s="1"/>
  <c r="AM58" i="4" s="1"/>
  <c r="V116" i="4"/>
  <c r="V117" i="4" s="1"/>
  <c r="W76" i="4"/>
  <c r="W80" i="4" s="1"/>
  <c r="W107" i="4" s="1"/>
  <c r="AY49" i="4"/>
  <c r="AY46" i="4"/>
  <c r="BA26" i="4"/>
  <c r="BB25" i="4"/>
  <c r="J19" i="6" s="1"/>
  <c r="AZ39" i="4"/>
  <c r="AZ40" i="4" s="1"/>
  <c r="AZ43" i="4" s="1"/>
  <c r="BC20" i="4"/>
  <c r="BC22" i="4"/>
  <c r="BC53" i="4"/>
  <c r="BA33" i="4"/>
  <c r="BB23" i="4"/>
  <c r="BE7" i="4"/>
  <c r="BE74" i="4" s="1"/>
  <c r="BE72" i="4" s="1"/>
  <c r="BD52" i="4"/>
  <c r="BE9" i="4"/>
  <c r="BD16" i="4"/>
  <c r="BC17" i="4"/>
  <c r="BD11" i="4"/>
  <c r="BA29" i="4"/>
  <c r="BH36" i="4"/>
  <c r="W106" i="4" l="1"/>
  <c r="W108" i="4" s="1"/>
  <c r="W113" i="4" s="1"/>
  <c r="W109" i="4"/>
  <c r="X105" i="4" s="1"/>
  <c r="X106" i="4" s="1"/>
  <c r="V122" i="4"/>
  <c r="V121" i="4"/>
  <c r="W89" i="4"/>
  <c r="W97" i="4"/>
  <c r="W112" i="4" s="1"/>
  <c r="BB21" i="4"/>
  <c r="BB26" i="4" s="1"/>
  <c r="BC31" i="4"/>
  <c r="BB33" i="4"/>
  <c r="J17" i="6"/>
  <c r="J20" i="6" s="1"/>
  <c r="AN48" i="4"/>
  <c r="AN54" i="4" s="1"/>
  <c r="AN55" i="4" s="1"/>
  <c r="AN56" i="4" s="1"/>
  <c r="AN58" i="4" s="1"/>
  <c r="W77" i="4"/>
  <c r="X73" i="4" s="1"/>
  <c r="X71" i="4" s="1"/>
  <c r="AZ49" i="4"/>
  <c r="AZ46" i="4"/>
  <c r="BA39" i="4"/>
  <c r="BA40" i="4" s="1"/>
  <c r="BA43" i="4" s="1"/>
  <c r="BI36" i="4"/>
  <c r="BC23" i="4"/>
  <c r="BF9" i="4"/>
  <c r="BE16" i="4"/>
  <c r="BD20" i="4"/>
  <c r="BD22" i="4"/>
  <c r="BD31" i="4" s="1"/>
  <c r="BD53" i="4"/>
  <c r="BD17" i="4"/>
  <c r="BE11" i="4"/>
  <c r="BC25" i="4"/>
  <c r="BC24" i="4"/>
  <c r="BE52" i="4"/>
  <c r="BF7" i="4"/>
  <c r="BF74" i="4" s="1"/>
  <c r="BF72" i="4" s="1"/>
  <c r="W114" i="4" l="1"/>
  <c r="W110" i="4"/>
  <c r="X75" i="4"/>
  <c r="BB29" i="4"/>
  <c r="BC21" i="4"/>
  <c r="BC29" i="4" s="1"/>
  <c r="BC33" i="4"/>
  <c r="AO48" i="4"/>
  <c r="AO54" i="4" s="1"/>
  <c r="AO55" i="4" s="1"/>
  <c r="AO56" i="4" s="1"/>
  <c r="AO58" i="4" s="1"/>
  <c r="W116" i="4"/>
  <c r="W117" i="4" s="1"/>
  <c r="BA49" i="4"/>
  <c r="BA46" i="4"/>
  <c r="BB39" i="4"/>
  <c r="BG9" i="4"/>
  <c r="BF16" i="4"/>
  <c r="BD23" i="4"/>
  <c r="BD33" i="4" s="1"/>
  <c r="BF52" i="4"/>
  <c r="BG7" i="4"/>
  <c r="BG74" i="4" s="1"/>
  <c r="BG72" i="4" s="1"/>
  <c r="BE20" i="4"/>
  <c r="BE22" i="4"/>
  <c r="BJ36" i="4"/>
  <c r="BD25" i="4"/>
  <c r="BD24" i="4"/>
  <c r="BE53" i="4"/>
  <c r="BE17" i="4"/>
  <c r="BF11" i="4"/>
  <c r="W122" i="4" l="1"/>
  <c r="W121" i="4"/>
  <c r="BC26" i="4"/>
  <c r="BC39" i="4" s="1"/>
  <c r="BD21" i="4"/>
  <c r="BD29" i="4" s="1"/>
  <c r="BB40" i="4"/>
  <c r="BB43" i="4" s="1"/>
  <c r="BB46" i="4" s="1"/>
  <c r="J26" i="6"/>
  <c r="J27" i="6" s="1"/>
  <c r="J30" i="6" s="1"/>
  <c r="AP48" i="4"/>
  <c r="AP54" i="4" s="1"/>
  <c r="BB49" i="4"/>
  <c r="BD26" i="4"/>
  <c r="BE31" i="4"/>
  <c r="BG52" i="4"/>
  <c r="BH7" i="4"/>
  <c r="BH74" i="4" s="1"/>
  <c r="BH72" i="4" s="1"/>
  <c r="BF17" i="4"/>
  <c r="BG11" i="4"/>
  <c r="BK36" i="4"/>
  <c r="BF53" i="4"/>
  <c r="BE23" i="4"/>
  <c r="BF20" i="4"/>
  <c r="BF22" i="4"/>
  <c r="BE25" i="4"/>
  <c r="BE24" i="4"/>
  <c r="BG16" i="4"/>
  <c r="BH9" i="4"/>
  <c r="BE21" i="4" l="1"/>
  <c r="BE26" i="4" s="1"/>
  <c r="J36" i="6"/>
  <c r="J33" i="6"/>
  <c r="I35" i="6"/>
  <c r="I41" i="6" s="1"/>
  <c r="BC40" i="4"/>
  <c r="BC43" i="4" s="1"/>
  <c r="AQ48" i="4" s="1"/>
  <c r="AQ54" i="4" s="1"/>
  <c r="AQ55" i="4" s="1"/>
  <c r="AQ56" i="4" s="1"/>
  <c r="AQ58" i="4" s="1"/>
  <c r="X76" i="4"/>
  <c r="X80" i="4" s="1"/>
  <c r="BC49" i="4"/>
  <c r="BC46" i="4"/>
  <c r="BD39" i="4"/>
  <c r="BD40" i="4" s="1"/>
  <c r="BD43" i="4" s="1"/>
  <c r="BG17" i="4"/>
  <c r="BG24" i="4" s="1"/>
  <c r="BH11" i="4"/>
  <c r="BG53" i="4"/>
  <c r="BF23" i="4"/>
  <c r="BF21" i="4" s="1"/>
  <c r="BI9" i="4"/>
  <c r="BH16" i="4"/>
  <c r="BF25" i="4"/>
  <c r="BF24" i="4"/>
  <c r="BH52" i="4"/>
  <c r="BI7" i="4"/>
  <c r="BI74" i="4" s="1"/>
  <c r="BI72" i="4" s="1"/>
  <c r="AP55" i="4"/>
  <c r="AP56" i="4" s="1"/>
  <c r="AP58" i="4" s="1"/>
  <c r="BF31" i="4"/>
  <c r="BG22" i="4"/>
  <c r="BG20" i="4"/>
  <c r="BL36" i="4"/>
  <c r="BE33" i="4"/>
  <c r="X107" i="4" l="1"/>
  <c r="X108" i="4"/>
  <c r="I42" i="6"/>
  <c r="I43" i="6" s="1"/>
  <c r="I45" i="6" s="1"/>
  <c r="BE29" i="4"/>
  <c r="X89" i="4"/>
  <c r="X97" i="4"/>
  <c r="X112" i="4" s="1"/>
  <c r="AR48" i="4"/>
  <c r="AR54" i="4" s="1"/>
  <c r="X77" i="4"/>
  <c r="Y73" i="4" s="1"/>
  <c r="Y71" i="4" s="1"/>
  <c r="BD49" i="4"/>
  <c r="BG25" i="4"/>
  <c r="BG21" i="4" s="1"/>
  <c r="BF26" i="4"/>
  <c r="BE39" i="4"/>
  <c r="BE40" i="4" s="1"/>
  <c r="BE43" i="4" s="1"/>
  <c r="BD46" i="4"/>
  <c r="BH53" i="4"/>
  <c r="BH20" i="4"/>
  <c r="BH22" i="4"/>
  <c r="BH31" i="4" s="1"/>
  <c r="BI16" i="4"/>
  <c r="BJ9" i="4"/>
  <c r="BF29" i="4"/>
  <c r="BG31" i="4"/>
  <c r="BI52" i="4"/>
  <c r="BJ7" i="4"/>
  <c r="BJ74" i="4" s="1"/>
  <c r="BJ72" i="4" s="1"/>
  <c r="BM36" i="4"/>
  <c r="BF33" i="4"/>
  <c r="BI11" i="4"/>
  <c r="BH17" i="4"/>
  <c r="BH25" i="4" s="1"/>
  <c r="BG23" i="4"/>
  <c r="X109" i="4" l="1"/>
  <c r="Y105" i="4" s="1"/>
  <c r="X113" i="4"/>
  <c r="X114" i="4" s="1"/>
  <c r="X110" i="4"/>
  <c r="Y75" i="4"/>
  <c r="AS48" i="4"/>
  <c r="AS54" i="4" s="1"/>
  <c r="X116" i="4"/>
  <c r="X117" i="4" s="1"/>
  <c r="BE49" i="4"/>
  <c r="BG29" i="4"/>
  <c r="BG26" i="4"/>
  <c r="BF39" i="4"/>
  <c r="BF40" i="4" s="1"/>
  <c r="BF43" i="4" s="1"/>
  <c r="BG33" i="4"/>
  <c r="BE46" i="4"/>
  <c r="BH24" i="4"/>
  <c r="BI17" i="4"/>
  <c r="BJ11" i="4"/>
  <c r="BJ52" i="4"/>
  <c r="BK7" i="4"/>
  <c r="BK74" i="4" s="1"/>
  <c r="BK72" i="4" s="1"/>
  <c r="BI53" i="4"/>
  <c r="BH23" i="4"/>
  <c r="BH21" i="4" s="1"/>
  <c r="AR55" i="4"/>
  <c r="AR56" i="4" s="1"/>
  <c r="AR58" i="4" s="1"/>
  <c r="BI22" i="4"/>
  <c r="BI20" i="4"/>
  <c r="BN36" i="4"/>
  <c r="K23" i="6" s="1"/>
  <c r="BK9" i="4"/>
  <c r="BJ16" i="4"/>
  <c r="X121" i="4" l="1"/>
  <c r="X122" i="4"/>
  <c r="Y106" i="4"/>
  <c r="AT48" i="4"/>
  <c r="AT54" i="4" s="1"/>
  <c r="AT55" i="4" s="1"/>
  <c r="AT56" i="4" s="1"/>
  <c r="AT58" i="4" s="1"/>
  <c r="BH29" i="4"/>
  <c r="BF49" i="4"/>
  <c r="BF46" i="4"/>
  <c r="BH26" i="4"/>
  <c r="BG39" i="4"/>
  <c r="BG40" i="4" s="1"/>
  <c r="BG43" i="4" s="1"/>
  <c r="BJ22" i="4"/>
  <c r="BJ20" i="4"/>
  <c r="BJ53" i="4"/>
  <c r="BK52" i="4"/>
  <c r="BL7" i="4"/>
  <c r="BL74" i="4" s="1"/>
  <c r="BL72" i="4" s="1"/>
  <c r="BI31" i="4"/>
  <c r="BI23" i="4"/>
  <c r="BI33" i="4" s="1"/>
  <c r="BH33" i="4"/>
  <c r="BO36" i="4"/>
  <c r="BL9" i="4"/>
  <c r="BK16" i="4"/>
  <c r="BJ17" i="4"/>
  <c r="BK11" i="4"/>
  <c r="BI24" i="4"/>
  <c r="BI25" i="4"/>
  <c r="AS55" i="4"/>
  <c r="AS56" i="4" s="1"/>
  <c r="AS58" i="4" s="1"/>
  <c r="BI21" i="4" l="1"/>
  <c r="BI29" i="4" s="1"/>
  <c r="AU48" i="4"/>
  <c r="AU54" i="4" s="1"/>
  <c r="AU55" i="4" s="1"/>
  <c r="AU56" i="4" s="1"/>
  <c r="AU58" i="4" s="1"/>
  <c r="Y76" i="4"/>
  <c r="Y80" i="4" s="1"/>
  <c r="Y107" i="4" s="1"/>
  <c r="BG49" i="4"/>
  <c r="BG46" i="4"/>
  <c r="BI26" i="4"/>
  <c r="BH39" i="4"/>
  <c r="BH40" i="4" s="1"/>
  <c r="BH43" i="4" s="1"/>
  <c r="BK53" i="4"/>
  <c r="BJ23" i="4"/>
  <c r="BJ24" i="4"/>
  <c r="BK20" i="4"/>
  <c r="BK22" i="4"/>
  <c r="BK31" i="4" s="1"/>
  <c r="BK17" i="4"/>
  <c r="BK24" i="4" s="1"/>
  <c r="BL11" i="4"/>
  <c r="BJ25" i="4"/>
  <c r="BJ21" i="4" s="1"/>
  <c r="BM9" i="4"/>
  <c r="BL16" i="4"/>
  <c r="BP36" i="4"/>
  <c r="BJ31" i="4"/>
  <c r="BL52" i="4"/>
  <c r="BM7" i="4"/>
  <c r="BM74" i="4" s="1"/>
  <c r="BM72" i="4" s="1"/>
  <c r="Y108" i="4" l="1"/>
  <c r="Y113" i="4" s="1"/>
  <c r="Y89" i="4"/>
  <c r="Y97" i="4"/>
  <c r="Y112" i="4" s="1"/>
  <c r="AV48" i="4"/>
  <c r="AV54" i="4" s="1"/>
  <c r="Y77" i="4"/>
  <c r="Z73" i="4" s="1"/>
  <c r="Z71" i="4" s="1"/>
  <c r="BH49" i="4"/>
  <c r="BJ26" i="4"/>
  <c r="BI39" i="4"/>
  <c r="BI40" i="4" s="1"/>
  <c r="BI43" i="4" s="1"/>
  <c r="BK25" i="4"/>
  <c r="BK21" i="4" s="1"/>
  <c r="BH46" i="4"/>
  <c r="BM52" i="4"/>
  <c r="BN7" i="4"/>
  <c r="BL53" i="4"/>
  <c r="BJ29" i="4"/>
  <c r="BL20" i="4"/>
  <c r="BL22" i="4"/>
  <c r="BL31" i="4" s="1"/>
  <c r="BN9" i="4"/>
  <c r="BM16" i="4"/>
  <c r="BL17" i="4"/>
  <c r="BL25" i="4" s="1"/>
  <c r="BM11" i="4"/>
  <c r="BQ36" i="4"/>
  <c r="BJ33" i="4"/>
  <c r="BK23" i="4"/>
  <c r="BK33" i="4" s="1"/>
  <c r="Y114" i="4" l="1"/>
  <c r="Y109" i="4"/>
  <c r="Z105" i="4" s="1"/>
  <c r="Y110" i="4"/>
  <c r="Z75" i="4"/>
  <c r="BN74" i="4"/>
  <c r="BN72" i="4" s="1"/>
  <c r="K8" i="6"/>
  <c r="AW48" i="4"/>
  <c r="AW54" i="4" s="1"/>
  <c r="Y116" i="4"/>
  <c r="Y117" i="4" s="1"/>
  <c r="BI49" i="4"/>
  <c r="BK26" i="4"/>
  <c r="BJ39" i="4"/>
  <c r="BJ40" i="4" s="1"/>
  <c r="BJ43" i="4" s="1"/>
  <c r="BI46" i="4"/>
  <c r="BN52" i="4"/>
  <c r="BO7" i="4"/>
  <c r="BO74" i="4" s="1"/>
  <c r="BO72" i="4" s="1"/>
  <c r="BK29" i="4"/>
  <c r="BR36" i="4"/>
  <c r="BM17" i="4"/>
  <c r="BM24" i="4" s="1"/>
  <c r="BN11" i="4"/>
  <c r="BM22" i="4"/>
  <c r="BM20" i="4"/>
  <c r="BL24" i="4"/>
  <c r="BM53" i="4"/>
  <c r="BO9" i="4"/>
  <c r="BN16" i="4"/>
  <c r="K10" i="6" s="1"/>
  <c r="BL23" i="4"/>
  <c r="BL21" i="4" s="1"/>
  <c r="AV55" i="4"/>
  <c r="AV56" i="4" s="1"/>
  <c r="AV58" i="4" s="1"/>
  <c r="Z106" i="4" l="1"/>
  <c r="Y121" i="4"/>
  <c r="Y122" i="4"/>
  <c r="AX48" i="4"/>
  <c r="K39" i="6"/>
  <c r="K61" i="6"/>
  <c r="Z76" i="4"/>
  <c r="Z77" i="4" s="1"/>
  <c r="AA73" i="4" s="1"/>
  <c r="BM25" i="4"/>
  <c r="BM21" i="4" s="1"/>
  <c r="BJ49" i="4"/>
  <c r="BJ46" i="4"/>
  <c r="AX54" i="4"/>
  <c r="AX55" i="4" s="1"/>
  <c r="AX56" i="4" s="1"/>
  <c r="AX58" i="4" s="1"/>
  <c r="BL26" i="4"/>
  <c r="BK39" i="4"/>
  <c r="BK40" i="4" s="1"/>
  <c r="BK43" i="4" s="1"/>
  <c r="BL33" i="4"/>
  <c r="BP9" i="4"/>
  <c r="BO16" i="4"/>
  <c r="BN20" i="4"/>
  <c r="K14" i="6" s="1"/>
  <c r="BN22" i="4"/>
  <c r="K16" i="6" s="1"/>
  <c r="BL29" i="4"/>
  <c r="BN53" i="4"/>
  <c r="BS36" i="4"/>
  <c r="AW55" i="4"/>
  <c r="AW56" i="4" s="1"/>
  <c r="AW58" i="4" s="1"/>
  <c r="BM31" i="4"/>
  <c r="BO11" i="4"/>
  <c r="BN17" i="4"/>
  <c r="BO52" i="4"/>
  <c r="BP7" i="4"/>
  <c r="BP74" i="4" s="1"/>
  <c r="BP72" i="4" s="1"/>
  <c r="BM23" i="4"/>
  <c r="BM33" i="4" s="1"/>
  <c r="K59" i="6" l="1"/>
  <c r="BN25" i="4"/>
  <c r="K19" i="6" s="1"/>
  <c r="K11" i="6"/>
  <c r="K15" i="6" s="1"/>
  <c r="AY48" i="4"/>
  <c r="AY54" i="4" s="1"/>
  <c r="K40" i="6"/>
  <c r="Z80" i="4"/>
  <c r="AA71" i="4"/>
  <c r="BK49" i="4"/>
  <c r="BM26" i="4"/>
  <c r="BL39" i="4"/>
  <c r="BL40" i="4" s="1"/>
  <c r="BL43" i="4" s="1"/>
  <c r="BN24" i="4"/>
  <c r="K18" i="6" s="1"/>
  <c r="BK46" i="4"/>
  <c r="BP52" i="4"/>
  <c r="BQ7" i="4"/>
  <c r="BQ74" i="4" s="1"/>
  <c r="BQ72" i="4" s="1"/>
  <c r="BO53" i="4"/>
  <c r="BN23" i="4"/>
  <c r="K17" i="6" s="1"/>
  <c r="BP11" i="4"/>
  <c r="BO17" i="4"/>
  <c r="BN31" i="4"/>
  <c r="BM29" i="4"/>
  <c r="BT36" i="4"/>
  <c r="BO20" i="4"/>
  <c r="BO22" i="4"/>
  <c r="BP16" i="4"/>
  <c r="BQ9" i="4"/>
  <c r="Z97" i="4" l="1"/>
  <c r="Z112" i="4" s="1"/>
  <c r="Z107" i="4"/>
  <c r="Z108" i="4"/>
  <c r="Z113" i="4" s="1"/>
  <c r="Z114" i="4" s="1"/>
  <c r="AA75" i="4"/>
  <c r="Z89" i="4"/>
  <c r="BN21" i="4"/>
  <c r="BN29" i="4" s="1"/>
  <c r="BO31" i="4"/>
  <c r="BO25" i="4"/>
  <c r="K20" i="6"/>
  <c r="AZ48" i="4"/>
  <c r="AZ54" i="4" s="1"/>
  <c r="AZ55" i="4" s="1"/>
  <c r="AZ56" i="4" s="1"/>
  <c r="AZ58" i="4" s="1"/>
  <c r="BO21" i="4"/>
  <c r="BL49" i="4"/>
  <c r="BL46" i="4"/>
  <c r="BM39" i="4"/>
  <c r="BM40" i="4" s="1"/>
  <c r="BM43" i="4" s="1"/>
  <c r="BO24" i="4"/>
  <c r="BP53" i="4"/>
  <c r="BQ52" i="4"/>
  <c r="BR7" i="4"/>
  <c r="BR74" i="4" s="1"/>
  <c r="BR72" i="4" s="1"/>
  <c r="BP17" i="4"/>
  <c r="BP25" i="4" s="1"/>
  <c r="BQ11" i="4"/>
  <c r="BQ16" i="4"/>
  <c r="BR9" i="4"/>
  <c r="BN33" i="4"/>
  <c r="BU36" i="4"/>
  <c r="BO23" i="4"/>
  <c r="AY55" i="4"/>
  <c r="AY56" i="4" s="1"/>
  <c r="AY58" i="4" s="1"/>
  <c r="BP20" i="4"/>
  <c r="BP22" i="4"/>
  <c r="Z110" i="4" l="1"/>
  <c r="Z109" i="4"/>
  <c r="AA105" i="4" s="1"/>
  <c r="BN26" i="4"/>
  <c r="BN39" i="4" s="1"/>
  <c r="BA48" i="4"/>
  <c r="BA54" i="4" s="1"/>
  <c r="AA76" i="4"/>
  <c r="AA77" i="4" s="1"/>
  <c r="AB73" i="4" s="1"/>
  <c r="BM49" i="4"/>
  <c r="BO26" i="4"/>
  <c r="BM46" i="4"/>
  <c r="BP24" i="4"/>
  <c r="BQ53" i="4"/>
  <c r="BP31" i="4"/>
  <c r="BO33" i="4"/>
  <c r="BP23" i="4"/>
  <c r="BP33" i="4" s="1"/>
  <c r="BO29" i="4"/>
  <c r="BV36" i="4"/>
  <c r="BR16" i="4"/>
  <c r="BS9" i="4"/>
  <c r="BR11" i="4"/>
  <c r="BQ17" i="4"/>
  <c r="BQ24" i="4" s="1"/>
  <c r="BR52" i="4"/>
  <c r="BS7" i="4"/>
  <c r="BS74" i="4" s="1"/>
  <c r="BS72" i="4" s="1"/>
  <c r="BQ22" i="4"/>
  <c r="BQ31" i="4" s="1"/>
  <c r="BQ20" i="4"/>
  <c r="AA106" i="4" l="1"/>
  <c r="Z116" i="4"/>
  <c r="Z117" i="4" s="1"/>
  <c r="BP21" i="4"/>
  <c r="BP29" i="4" s="1"/>
  <c r="BN40" i="4"/>
  <c r="BN43" i="4" s="1"/>
  <c r="BB48" i="4" s="1"/>
  <c r="BB54" i="4" s="1"/>
  <c r="BB55" i="4" s="1"/>
  <c r="BB56" i="4" s="1"/>
  <c r="BB58" i="4" s="1"/>
  <c r="K26" i="6"/>
  <c r="K27" i="6" s="1"/>
  <c r="K30" i="6" s="1"/>
  <c r="AA80" i="4"/>
  <c r="AB71" i="4"/>
  <c r="BO39" i="4"/>
  <c r="BS52" i="4"/>
  <c r="BT7" i="4"/>
  <c r="BT74" i="4" s="1"/>
  <c r="BT72" i="4" s="1"/>
  <c r="BS11" i="4"/>
  <c r="BR17" i="4"/>
  <c r="BS16" i="4"/>
  <c r="BT9" i="4"/>
  <c r="BR22" i="4"/>
  <c r="BR31" i="4" s="1"/>
  <c r="BR20" i="4"/>
  <c r="BQ23" i="4"/>
  <c r="BQ21" i="4" s="1"/>
  <c r="BA55" i="4"/>
  <c r="BA56" i="4" s="1"/>
  <c r="BA58" i="4" s="1"/>
  <c r="BW36" i="4"/>
  <c r="BR53" i="4"/>
  <c r="BQ25" i="4"/>
  <c r="AA97" i="4" l="1"/>
  <c r="AA112" i="4" s="1"/>
  <c r="AA107" i="4"/>
  <c r="Z121" i="4"/>
  <c r="Z122" i="4"/>
  <c r="AA108" i="4"/>
  <c r="AA113" i="4" s="1"/>
  <c r="AA114" i="4" s="1"/>
  <c r="BP26" i="4"/>
  <c r="BN49" i="4"/>
  <c r="AB75" i="4"/>
  <c r="AA89" i="4"/>
  <c r="BN46" i="4"/>
  <c r="K36" i="6"/>
  <c r="K33" i="6"/>
  <c r="J35" i="6"/>
  <c r="J41" i="6" s="1"/>
  <c r="BO40" i="4"/>
  <c r="BO43" i="4" s="1"/>
  <c r="BQ29" i="4"/>
  <c r="BQ26" i="4"/>
  <c r="BP39" i="4"/>
  <c r="BP40" i="4" s="1"/>
  <c r="BP43" i="4" s="1"/>
  <c r="BT11" i="4"/>
  <c r="BS17" i="4"/>
  <c r="BS24" i="4" s="1"/>
  <c r="BS53" i="4"/>
  <c r="BT52" i="4"/>
  <c r="BU7" i="4"/>
  <c r="BU74" i="4" s="1"/>
  <c r="BU72" i="4" s="1"/>
  <c r="BQ33" i="4"/>
  <c r="BT16" i="4"/>
  <c r="BU9" i="4"/>
  <c r="BR23" i="4"/>
  <c r="BR33" i="4" s="1"/>
  <c r="BX36" i="4"/>
  <c r="BR24" i="4"/>
  <c r="BR25" i="4"/>
  <c r="BR21" i="4" s="1"/>
  <c r="BS22" i="4"/>
  <c r="BS31" i="4" s="1"/>
  <c r="BS20" i="4"/>
  <c r="AA110" i="4" l="1"/>
  <c r="AA109" i="4"/>
  <c r="AB105" i="4" s="1"/>
  <c r="J42" i="6"/>
  <c r="J43" i="6" s="1"/>
  <c r="J45" i="6" s="1"/>
  <c r="BC48" i="4"/>
  <c r="BC54" i="4" s="1"/>
  <c r="BC55" i="4" s="1"/>
  <c r="BC56" i="4" s="1"/>
  <c r="BC58" i="4" s="1"/>
  <c r="BO49" i="4"/>
  <c r="BO46" i="4"/>
  <c r="BD48" i="4"/>
  <c r="BD54" i="4" s="1"/>
  <c r="AB76" i="4"/>
  <c r="AB77" i="4" s="1"/>
  <c r="AC73" i="4" s="1"/>
  <c r="BP49" i="4"/>
  <c r="BR26" i="4"/>
  <c r="BQ39" i="4"/>
  <c r="BS25" i="4"/>
  <c r="BS21" i="4" s="1"/>
  <c r="BP46" i="4"/>
  <c r="BT53" i="4"/>
  <c r="BU52" i="4"/>
  <c r="BV7" i="4"/>
  <c r="BV74" i="4" s="1"/>
  <c r="BV72" i="4" s="1"/>
  <c r="BU11" i="4"/>
  <c r="BT17" i="4"/>
  <c r="BT25" i="4" s="1"/>
  <c r="BY36" i="4"/>
  <c r="BS23" i="4"/>
  <c r="BR29" i="4"/>
  <c r="BU16" i="4"/>
  <c r="BV9" i="4"/>
  <c r="BT22" i="4"/>
  <c r="BT20" i="4"/>
  <c r="AB106" i="4" l="1"/>
  <c r="AA116" i="4"/>
  <c r="AA117" i="4" s="1"/>
  <c r="BQ40" i="4"/>
  <c r="BQ43" i="4" s="1"/>
  <c r="BE48" i="4" s="1"/>
  <c r="BE54" i="4" s="1"/>
  <c r="AB80" i="4"/>
  <c r="AC71" i="4"/>
  <c r="BS26" i="4"/>
  <c r="BR39" i="4"/>
  <c r="BR40" i="4" s="1"/>
  <c r="BR43" i="4" s="1"/>
  <c r="BU53" i="4"/>
  <c r="BT24" i="4"/>
  <c r="BT31" i="4"/>
  <c r="BW9" i="4"/>
  <c r="BV16" i="4"/>
  <c r="BZ36" i="4"/>
  <c r="L23" i="6" s="1"/>
  <c r="BU17" i="4"/>
  <c r="BV11" i="4"/>
  <c r="BU20" i="4"/>
  <c r="BU22" i="4"/>
  <c r="BW7" i="4"/>
  <c r="BW74" i="4" s="1"/>
  <c r="BW72" i="4" s="1"/>
  <c r="BV52" i="4"/>
  <c r="BS29" i="4"/>
  <c r="BS33" i="4"/>
  <c r="BT23" i="4"/>
  <c r="BT21" i="4" s="1"/>
  <c r="BD55" i="4"/>
  <c r="BD56" i="4" s="1"/>
  <c r="BD58" i="4" s="1"/>
  <c r="AA121" i="4" l="1"/>
  <c r="AA122" i="4"/>
  <c r="AB97" i="4"/>
  <c r="AB112" i="4" s="1"/>
  <c r="AB107" i="4"/>
  <c r="AB108" i="4"/>
  <c r="AB113" i="4" s="1"/>
  <c r="AB114" i="4" s="1"/>
  <c r="BQ49" i="4"/>
  <c r="BQ46" i="4"/>
  <c r="AC75" i="4"/>
  <c r="AB89" i="4"/>
  <c r="BF48" i="4"/>
  <c r="BF54" i="4" s="1"/>
  <c r="BR49" i="4"/>
  <c r="BT26" i="4"/>
  <c r="BS39" i="4"/>
  <c r="BS40" i="4" s="1"/>
  <c r="BS43" i="4" s="1"/>
  <c r="BR46" i="4"/>
  <c r="BT29" i="4"/>
  <c r="BV20" i="4"/>
  <c r="BV22" i="4"/>
  <c r="BV31" i="4" s="1"/>
  <c r="CA36" i="4"/>
  <c r="BX7" i="4"/>
  <c r="BX74" i="4" s="1"/>
  <c r="BX72" i="4" s="1"/>
  <c r="BW52" i="4"/>
  <c r="BU23" i="4"/>
  <c r="BU21" i="4" s="1"/>
  <c r="BT33" i="4"/>
  <c r="BU25" i="4"/>
  <c r="BW11" i="4"/>
  <c r="BV17" i="4"/>
  <c r="BV25" i="4" s="1"/>
  <c r="BW16" i="4"/>
  <c r="BX9" i="4"/>
  <c r="BV53" i="4"/>
  <c r="BE55" i="4"/>
  <c r="BE56" i="4" s="1"/>
  <c r="BE58" i="4" s="1"/>
  <c r="BU24" i="4"/>
  <c r="BU31" i="4"/>
  <c r="AB110" i="4" l="1"/>
  <c r="AB109" i="4"/>
  <c r="AC105" i="4" s="1"/>
  <c r="BG48" i="4"/>
  <c r="AC76" i="4"/>
  <c r="AC77" i="4" s="1"/>
  <c r="AD73" i="4" s="1"/>
  <c r="BU29" i="4"/>
  <c r="BS49" i="4"/>
  <c r="BS46" i="4"/>
  <c r="BG54" i="4"/>
  <c r="BG55" i="4" s="1"/>
  <c r="BG56" i="4" s="1"/>
  <c r="BG58" i="4" s="1"/>
  <c r="BU26" i="4"/>
  <c r="BT39" i="4"/>
  <c r="BT40" i="4" s="1"/>
  <c r="BT43" i="4" s="1"/>
  <c r="BX16" i="4"/>
  <c r="BY9" i="4"/>
  <c r="BV23" i="4"/>
  <c r="BV33" i="4" s="1"/>
  <c r="BW17" i="4"/>
  <c r="BW25" i="4" s="1"/>
  <c r="BX11" i="4"/>
  <c r="BU33" i="4"/>
  <c r="BF55" i="4"/>
  <c r="BF56" i="4" s="1"/>
  <c r="BF58" i="4" s="1"/>
  <c r="BW53" i="4"/>
  <c r="BX52" i="4"/>
  <c r="BY7" i="4"/>
  <c r="BY74" i="4" s="1"/>
  <c r="BY72" i="4" s="1"/>
  <c r="BV24" i="4"/>
  <c r="BW22" i="4"/>
  <c r="BW31" i="4" s="1"/>
  <c r="BW20" i="4"/>
  <c r="CB36" i="4"/>
  <c r="AC106" i="4" l="1"/>
  <c r="AB116" i="4"/>
  <c r="AB117" i="4" s="1"/>
  <c r="BV21" i="4"/>
  <c r="BV29" i="4" s="1"/>
  <c r="BH48" i="4"/>
  <c r="BH54" i="4" s="1"/>
  <c r="BH55" i="4" s="1"/>
  <c r="BH56" i="4" s="1"/>
  <c r="BH58" i="4" s="1"/>
  <c r="BW21" i="4"/>
  <c r="AC80" i="4"/>
  <c r="AC107" i="4" s="1"/>
  <c r="AD71" i="4"/>
  <c r="BT49" i="4"/>
  <c r="BT46" i="4"/>
  <c r="BU39" i="4"/>
  <c r="BU40" i="4" s="1"/>
  <c r="BU43" i="4" s="1"/>
  <c r="BW24" i="4"/>
  <c r="CC36" i="4"/>
  <c r="BY16" i="4"/>
  <c r="BZ9" i="4"/>
  <c r="BX53" i="4"/>
  <c r="BY11" i="4"/>
  <c r="BX17" i="4"/>
  <c r="BX24" i="4" s="1"/>
  <c r="BX20" i="4"/>
  <c r="BX22" i="4"/>
  <c r="BX31" i="4" s="1"/>
  <c r="BW23" i="4"/>
  <c r="BW33" i="4" s="1"/>
  <c r="BY52" i="4"/>
  <c r="BZ7" i="4"/>
  <c r="AB121" i="4" l="1"/>
  <c r="AB122" i="4"/>
  <c r="AC108" i="4"/>
  <c r="AC113" i="4" s="1"/>
  <c r="AC89" i="4"/>
  <c r="AC97" i="4"/>
  <c r="AC112" i="4" s="1"/>
  <c r="AD75" i="4"/>
  <c r="BV26" i="4"/>
  <c r="BV39" i="4" s="1"/>
  <c r="BV40" i="4" s="1"/>
  <c r="BV43" i="4" s="1"/>
  <c r="H62" i="6"/>
  <c r="H63" i="6" s="1"/>
  <c r="H64" i="6" s="1"/>
  <c r="H58" i="6"/>
  <c r="H65" i="6" s="1"/>
  <c r="BI48" i="4"/>
  <c r="BI54" i="4" s="1"/>
  <c r="BZ74" i="4"/>
  <c r="BZ72" i="4" s="1"/>
  <c r="L8" i="6"/>
  <c r="BX25" i="4"/>
  <c r="BU49" i="4"/>
  <c r="BW26" i="4"/>
  <c r="BU46" i="4"/>
  <c r="BX23" i="4"/>
  <c r="BZ52" i="4"/>
  <c r="CA7" i="4"/>
  <c r="CA74" i="4" s="1"/>
  <c r="CA72" i="4" s="1"/>
  <c r="BW29" i="4"/>
  <c r="BZ16" i="4"/>
  <c r="L10" i="6" s="1"/>
  <c r="CA9" i="4"/>
  <c r="BY22" i="4"/>
  <c r="BY20" i="4"/>
  <c r="BZ11" i="4"/>
  <c r="BY17" i="4"/>
  <c r="BY53" i="4"/>
  <c r="CD36" i="4"/>
  <c r="AC114" i="4" l="1"/>
  <c r="AC110" i="4"/>
  <c r="AC109" i="4"/>
  <c r="AD105" i="4" s="1"/>
  <c r="I60" i="6"/>
  <c r="H67" i="6"/>
  <c r="BX21" i="4"/>
  <c r="BX29" i="4" s="1"/>
  <c r="BJ48" i="4"/>
  <c r="BJ54" i="4" s="1"/>
  <c r="L39" i="6"/>
  <c r="L61" i="6"/>
  <c r="L59" i="6" s="1"/>
  <c r="AC116" i="4"/>
  <c r="AC117" i="4" s="1"/>
  <c r="AD76" i="4"/>
  <c r="AD77" i="4" s="1"/>
  <c r="AE73" i="4" s="1"/>
  <c r="BV49" i="4"/>
  <c r="BW39" i="4"/>
  <c r="BW40" i="4" s="1"/>
  <c r="BW43" i="4" s="1"/>
  <c r="BV46" i="4"/>
  <c r="BZ53" i="4"/>
  <c r="CA11" i="4"/>
  <c r="BZ17" i="4"/>
  <c r="BY23" i="4"/>
  <c r="CA52" i="4"/>
  <c r="CB7" i="4"/>
  <c r="CB74" i="4" s="1"/>
  <c r="CB72" i="4" s="1"/>
  <c r="CE36" i="4"/>
  <c r="BX33" i="4"/>
  <c r="BY25" i="4"/>
  <c r="BY24" i="4"/>
  <c r="BY31" i="4"/>
  <c r="BZ20" i="4"/>
  <c r="L14" i="6" s="1"/>
  <c r="BZ22" i="4"/>
  <c r="BI55" i="4"/>
  <c r="BI56" i="4" s="1"/>
  <c r="BI58" i="4" s="1"/>
  <c r="CA16" i="4"/>
  <c r="CB9" i="4"/>
  <c r="AC121" i="4" l="1"/>
  <c r="AC122" i="4"/>
  <c r="AD106" i="4"/>
  <c r="H83" i="6"/>
  <c r="H93" i="6" s="1"/>
  <c r="BX26" i="4"/>
  <c r="BY21" i="4"/>
  <c r="BY26" i="4" s="1"/>
  <c r="BZ31" i="4"/>
  <c r="L16" i="6"/>
  <c r="BZ24" i="4"/>
  <c r="L18" i="6" s="1"/>
  <c r="L11" i="6"/>
  <c r="L15" i="6" s="1"/>
  <c r="AD80" i="4"/>
  <c r="AD107" i="4" s="1"/>
  <c r="L40" i="6"/>
  <c r="BK48" i="4"/>
  <c r="BK54" i="4" s="1"/>
  <c r="AE71" i="4"/>
  <c r="BW49" i="4"/>
  <c r="BX39" i="4"/>
  <c r="BX40" i="4" s="1"/>
  <c r="BX43" i="4" s="1"/>
  <c r="BW46" i="4"/>
  <c r="BY33" i="4"/>
  <c r="BZ23" i="4"/>
  <c r="L17" i="6" s="1"/>
  <c r="CA20" i="4"/>
  <c r="CA22" i="4"/>
  <c r="CB11" i="4"/>
  <c r="CA17" i="4"/>
  <c r="BJ55" i="4"/>
  <c r="BJ56" i="4" s="1"/>
  <c r="BJ58" i="4" s="1"/>
  <c r="CF36" i="4"/>
  <c r="BZ25" i="4"/>
  <c r="L19" i="6" s="1"/>
  <c r="CB52" i="4"/>
  <c r="CC7" i="4"/>
  <c r="CC74" i="4" s="1"/>
  <c r="CC72" i="4" s="1"/>
  <c r="CA53" i="4"/>
  <c r="BY29" i="4"/>
  <c r="CB16" i="4"/>
  <c r="CC9" i="4"/>
  <c r="AD108" i="4" l="1"/>
  <c r="AD113" i="4" s="1"/>
  <c r="H92" i="6"/>
  <c r="H97" i="6"/>
  <c r="AD89" i="4"/>
  <c r="AD97" i="4"/>
  <c r="AD112" i="4" s="1"/>
  <c r="AE75" i="4"/>
  <c r="BZ21" i="4"/>
  <c r="BZ26" i="4" s="1"/>
  <c r="L20" i="6"/>
  <c r="BL48" i="4"/>
  <c r="BL54" i="4" s="1"/>
  <c r="BL55" i="4" s="1"/>
  <c r="BL56" i="4" s="1"/>
  <c r="BL58" i="4" s="1"/>
  <c r="BX49" i="4"/>
  <c r="BX46" i="4"/>
  <c r="BY39" i="4"/>
  <c r="BY40" i="4" s="1"/>
  <c r="CA31" i="4"/>
  <c r="CB53" i="4"/>
  <c r="CC52" i="4"/>
  <c r="CD7" i="4"/>
  <c r="CD74" i="4" s="1"/>
  <c r="CD72" i="4" s="1"/>
  <c r="CD9" i="4"/>
  <c r="CC16" i="4"/>
  <c r="BZ33" i="4"/>
  <c r="CG36" i="4"/>
  <c r="CA23" i="4"/>
  <c r="BK55" i="4"/>
  <c r="BK56" i="4" s="1"/>
  <c r="BK58" i="4" s="1"/>
  <c r="CB17" i="4"/>
  <c r="CB24" i="4" s="1"/>
  <c r="CC11" i="4"/>
  <c r="CA25" i="4"/>
  <c r="CA21" i="4" s="1"/>
  <c r="CA24" i="4"/>
  <c r="CB22" i="4"/>
  <c r="CB20" i="4"/>
  <c r="AD114" i="4" l="1"/>
  <c r="AD109" i="4"/>
  <c r="AE105" i="4" s="1"/>
  <c r="AD110" i="4"/>
  <c r="H98" i="6"/>
  <c r="H99" i="6" s="1"/>
  <c r="H95" i="6"/>
  <c r="H94" i="6"/>
  <c r="I90" i="6" s="1"/>
  <c r="BZ29" i="4"/>
  <c r="AE76" i="4"/>
  <c r="AE80" i="4" s="1"/>
  <c r="AE107" i="4" s="1"/>
  <c r="CA26" i="4"/>
  <c r="CA39" i="4" s="1"/>
  <c r="BY43" i="4"/>
  <c r="BZ39" i="4"/>
  <c r="CB25" i="4"/>
  <c r="CB21" i="4" s="1"/>
  <c r="CC22" i="4"/>
  <c r="CC20" i="4"/>
  <c r="CC53" i="4"/>
  <c r="CE9" i="4"/>
  <c r="CD16" i="4"/>
  <c r="CB31" i="4"/>
  <c r="CA29" i="4"/>
  <c r="CA33" i="4"/>
  <c r="CD52" i="4"/>
  <c r="CE7" i="4"/>
  <c r="CE74" i="4" s="1"/>
  <c r="CE72" i="4" s="1"/>
  <c r="CC17" i="4"/>
  <c r="CC24" i="4" s="1"/>
  <c r="CD11" i="4"/>
  <c r="CB23" i="4"/>
  <c r="CH36" i="4"/>
  <c r="AE106" i="4" l="1"/>
  <c r="AE108" i="4" s="1"/>
  <c r="AE113" i="4" s="1"/>
  <c r="AE109" i="4"/>
  <c r="AF105" i="4" s="1"/>
  <c r="I91" i="6"/>
  <c r="H101" i="6"/>
  <c r="H102" i="6" s="1"/>
  <c r="AD116" i="4"/>
  <c r="AD117" i="4" s="1"/>
  <c r="AE89" i="4"/>
  <c r="AE97" i="4"/>
  <c r="AE112" i="4" s="1"/>
  <c r="BZ40" i="4"/>
  <c r="BZ43" i="4" s="1"/>
  <c r="BN48" i="4" s="1"/>
  <c r="BN54" i="4" s="1"/>
  <c r="L26" i="6"/>
  <c r="L27" i="6" s="1"/>
  <c r="L30" i="6" s="1"/>
  <c r="BM48" i="4"/>
  <c r="BM54" i="4" s="1"/>
  <c r="BM55" i="4" s="1"/>
  <c r="BM56" i="4" s="1"/>
  <c r="BM58" i="4" s="1"/>
  <c r="AE77" i="4"/>
  <c r="AF73" i="4" s="1"/>
  <c r="BY49" i="4"/>
  <c r="BY46" i="4"/>
  <c r="CB26" i="4"/>
  <c r="CB29" i="4"/>
  <c r="CC25" i="4"/>
  <c r="CC21" i="4" s="1"/>
  <c r="CD22" i="4"/>
  <c r="CD20" i="4"/>
  <c r="CB33" i="4"/>
  <c r="CD17" i="4"/>
  <c r="CD25" i="4" s="1"/>
  <c r="CE11" i="4"/>
  <c r="CE16" i="4"/>
  <c r="CF9" i="4"/>
  <c r="CA40" i="4"/>
  <c r="CA43" i="4" s="1"/>
  <c r="CC23" i="4"/>
  <c r="CC33" i="4" s="1"/>
  <c r="CD53" i="4"/>
  <c r="CI36" i="4"/>
  <c r="CE52" i="4"/>
  <c r="CF7" i="4"/>
  <c r="CF74" i="4" s="1"/>
  <c r="CF72" i="4" s="1"/>
  <c r="CC31" i="4"/>
  <c r="AD121" i="4" l="1"/>
  <c r="AD122" i="4"/>
  <c r="AF106" i="4"/>
  <c r="AE114" i="4"/>
  <c r="AE110" i="4"/>
  <c r="H107" i="6"/>
  <c r="H106" i="6"/>
  <c r="L33" i="6"/>
  <c r="L36" i="6"/>
  <c r="K35" i="6"/>
  <c r="K41" i="6" s="1"/>
  <c r="BZ49" i="4"/>
  <c r="BZ46" i="4"/>
  <c r="BO48" i="4"/>
  <c r="BO54" i="4" s="1"/>
  <c r="AE116" i="4"/>
  <c r="AE117" i="4" s="1"/>
  <c r="AF71" i="4"/>
  <c r="CA49" i="4"/>
  <c r="CC26" i="4"/>
  <c r="CB39" i="4"/>
  <c r="CD24" i="4"/>
  <c r="CA46" i="4"/>
  <c r="CJ36" i="4"/>
  <c r="CD31" i="4"/>
  <c r="CE22" i="4"/>
  <c r="CE31" i="4" s="1"/>
  <c r="CE20" i="4"/>
  <c r="CF52" i="4"/>
  <c r="CG7" i="4"/>
  <c r="CG74" i="4" s="1"/>
  <c r="CG72" i="4" s="1"/>
  <c r="CE53" i="4"/>
  <c r="CC29" i="4"/>
  <c r="CG9" i="4"/>
  <c r="CF16" i="4"/>
  <c r="CF11" i="4"/>
  <c r="CE17" i="4"/>
  <c r="CE25" i="4" s="1"/>
  <c r="BN55" i="4"/>
  <c r="BN56" i="4" s="1"/>
  <c r="BN58" i="4" s="1"/>
  <c r="CD23" i="4"/>
  <c r="CD33" i="4" s="1"/>
  <c r="AE121" i="4" l="1"/>
  <c r="AE122" i="4"/>
  <c r="K42" i="6"/>
  <c r="K43" i="6" s="1"/>
  <c r="K45" i="6" s="1"/>
  <c r="AF75" i="4"/>
  <c r="CD21" i="4"/>
  <c r="CD26" i="4" s="1"/>
  <c r="CB40" i="4"/>
  <c r="CB43" i="4" s="1"/>
  <c r="BP48" i="4"/>
  <c r="BP54" i="4" s="1"/>
  <c r="BP55" i="4" s="1"/>
  <c r="BP56" i="4" s="1"/>
  <c r="BP58" i="4" s="1"/>
  <c r="CB49" i="4"/>
  <c r="CB46" i="4"/>
  <c r="CC39" i="4"/>
  <c r="CC40" i="4" s="1"/>
  <c r="CC43" i="4" s="1"/>
  <c r="CK36" i="4"/>
  <c r="CG52" i="4"/>
  <c r="CH7" i="4"/>
  <c r="CH74" i="4" s="1"/>
  <c r="CH72" i="4" s="1"/>
  <c r="BO55" i="4"/>
  <c r="BO56" i="4" s="1"/>
  <c r="BO58" i="4" s="1"/>
  <c r="CE23" i="4"/>
  <c r="CE21" i="4" s="1"/>
  <c r="CF20" i="4"/>
  <c r="CF22" i="4"/>
  <c r="CG16" i="4"/>
  <c r="CH9" i="4"/>
  <c r="CF53" i="4"/>
  <c r="CG11" i="4"/>
  <c r="CF17" i="4"/>
  <c r="CE24" i="4"/>
  <c r="CD29" i="4" l="1"/>
  <c r="BQ48" i="4"/>
  <c r="BQ54" i="4" s="1"/>
  <c r="AF76" i="4"/>
  <c r="AF77" i="4" s="1"/>
  <c r="AG73" i="4" s="1"/>
  <c r="CC49" i="4"/>
  <c r="CE29" i="4"/>
  <c r="CE26" i="4"/>
  <c r="CD39" i="4"/>
  <c r="CD40" i="4" s="1"/>
  <c r="CD43" i="4" s="1"/>
  <c r="CE33" i="4"/>
  <c r="CC46" i="4"/>
  <c r="CF23" i="4"/>
  <c r="CH52" i="4"/>
  <c r="CI7" i="4"/>
  <c r="CI74" i="4" s="1"/>
  <c r="CI72" i="4" s="1"/>
  <c r="CH11" i="4"/>
  <c r="CG17" i="4"/>
  <c r="CG25" i="4" s="1"/>
  <c r="CL36" i="4"/>
  <c r="CF31" i="4"/>
  <c r="CG53" i="4"/>
  <c r="CF24" i="4"/>
  <c r="CI9" i="4"/>
  <c r="CH16" i="4"/>
  <c r="CG22" i="4"/>
  <c r="CG31" i="4" s="1"/>
  <c r="CG20" i="4"/>
  <c r="CF25" i="4"/>
  <c r="CF21" i="4" l="1"/>
  <c r="CF29" i="4" s="1"/>
  <c r="CM36" i="4"/>
  <c r="M23" i="6"/>
  <c r="BR48" i="4"/>
  <c r="BR54" i="4" s="1"/>
  <c r="BR55" i="4" s="1"/>
  <c r="BR56" i="4" s="1"/>
  <c r="BR58" i="4" s="1"/>
  <c r="AF80" i="4"/>
  <c r="AG71" i="4"/>
  <c r="CD49" i="4"/>
  <c r="CD46" i="4"/>
  <c r="CF26" i="4"/>
  <c r="CE39" i="4"/>
  <c r="CE40" i="4" s="1"/>
  <c r="CE43" i="4" s="1"/>
  <c r="CH22" i="4"/>
  <c r="CH31" i="4" s="1"/>
  <c r="CH20" i="4"/>
  <c r="CI52" i="4"/>
  <c r="CJ7" i="4"/>
  <c r="CJ74" i="4" s="1"/>
  <c r="CJ72" i="4" s="1"/>
  <c r="CH53" i="4"/>
  <c r="CF33" i="4"/>
  <c r="CI11" i="4"/>
  <c r="CH17" i="4"/>
  <c r="CH25" i="4" s="1"/>
  <c r="CJ9" i="4"/>
  <c r="CI16" i="4"/>
  <c r="BQ55" i="4"/>
  <c r="BQ56" i="4" s="1"/>
  <c r="BQ58" i="4" s="1"/>
  <c r="CG23" i="4"/>
  <c r="CG33" i="4" s="1"/>
  <c r="CG24" i="4"/>
  <c r="AF107" i="4" l="1"/>
  <c r="AF108" i="4"/>
  <c r="AF113" i="4" s="1"/>
  <c r="AF89" i="4"/>
  <c r="AF97" i="4"/>
  <c r="AF112" i="4" s="1"/>
  <c r="AG75" i="4"/>
  <c r="CN36" i="4"/>
  <c r="CO36" i="4" s="1"/>
  <c r="CG21" i="4"/>
  <c r="CG29" i="4" s="1"/>
  <c r="BS48" i="4"/>
  <c r="BS54" i="4" s="1"/>
  <c r="BS55" i="4" s="1"/>
  <c r="BS56" i="4" s="1"/>
  <c r="BS58" i="4" s="1"/>
  <c r="CE49" i="4"/>
  <c r="CE46" i="4"/>
  <c r="CF39" i="4"/>
  <c r="CF40" i="4" s="1"/>
  <c r="CF43" i="4" s="1"/>
  <c r="CH24" i="4"/>
  <c r="CH23" i="4"/>
  <c r="CH21" i="4" s="1"/>
  <c r="CI17" i="4"/>
  <c r="CJ11" i="4"/>
  <c r="CI20" i="4"/>
  <c r="CI22" i="4"/>
  <c r="CI31" i="4" s="1"/>
  <c r="CK9" i="4"/>
  <c r="CJ16" i="4"/>
  <c r="CI53" i="4"/>
  <c r="CM19" i="4"/>
  <c r="CJ52" i="4"/>
  <c r="CK7" i="4"/>
  <c r="CK74" i="4" s="1"/>
  <c r="CK72" i="4" s="1"/>
  <c r="AF114" i="4" l="1"/>
  <c r="AF110" i="4"/>
  <c r="AF109" i="4"/>
  <c r="AG105" i="4" s="1"/>
  <c r="AG106" i="4" s="1"/>
  <c r="CG26" i="4"/>
  <c r="CG39" i="4" s="1"/>
  <c r="CG40" i="4" s="1"/>
  <c r="CG43" i="4" s="1"/>
  <c r="BT48" i="4"/>
  <c r="BT54" i="4" s="1"/>
  <c r="BT55" i="4" s="1"/>
  <c r="BT56" i="4" s="1"/>
  <c r="BT58" i="4" s="1"/>
  <c r="CP36" i="4"/>
  <c r="AG76" i="4"/>
  <c r="AG80" i="4" s="1"/>
  <c r="AG107" i="4" s="1"/>
  <c r="CF49" i="4"/>
  <c r="CF46" i="4"/>
  <c r="CH26" i="4"/>
  <c r="CN19" i="4"/>
  <c r="CJ53" i="4"/>
  <c r="CH33" i="4"/>
  <c r="CK52" i="4"/>
  <c r="CL7" i="4"/>
  <c r="CI23" i="4"/>
  <c r="CH29" i="4"/>
  <c r="CL9" i="4"/>
  <c r="CK16" i="4"/>
  <c r="CI24" i="4"/>
  <c r="CI25" i="4"/>
  <c r="CJ17" i="4"/>
  <c r="CJ24" i="4" s="1"/>
  <c r="CK11" i="4"/>
  <c r="CJ20" i="4"/>
  <c r="CJ22" i="4"/>
  <c r="AG108" i="4" l="1"/>
  <c r="AF116" i="4"/>
  <c r="AF117" i="4" s="1"/>
  <c r="AG89" i="4"/>
  <c r="AG97" i="4"/>
  <c r="AG112" i="4" s="1"/>
  <c r="BU48" i="4"/>
  <c r="BU54" i="4" s="1"/>
  <c r="CI21" i="4"/>
  <c r="CI29" i="4" s="1"/>
  <c r="CL74" i="4"/>
  <c r="CL72" i="4" s="1"/>
  <c r="M8" i="6"/>
  <c r="CQ36" i="4"/>
  <c r="AG77" i="4"/>
  <c r="AH73" i="4" s="1"/>
  <c r="CG49" i="4"/>
  <c r="CH39" i="4"/>
  <c r="CH40" i="4" s="1"/>
  <c r="CH43" i="4" s="1"/>
  <c r="CJ25" i="4"/>
  <c r="CJ21" i="4" s="1"/>
  <c r="CG46" i="4"/>
  <c r="CM7" i="4"/>
  <c r="CL52" i="4"/>
  <c r="CK53" i="4"/>
  <c r="CO19" i="4"/>
  <c r="CJ23" i="4"/>
  <c r="CI33" i="4"/>
  <c r="CJ31" i="4"/>
  <c r="CK20" i="4"/>
  <c r="CK22" i="4"/>
  <c r="CK31" i="4" s="1"/>
  <c r="CM9" i="4"/>
  <c r="CL16" i="4"/>
  <c r="M10" i="6" s="1"/>
  <c r="CK17" i="4"/>
  <c r="CL11" i="4"/>
  <c r="AF121" i="4" l="1"/>
  <c r="AF122" i="4"/>
  <c r="AG109" i="4"/>
  <c r="AH105" i="4" s="1"/>
  <c r="AH106" i="4" s="1"/>
  <c r="AG113" i="4"/>
  <c r="AG114" i="4" s="1"/>
  <c r="AG110" i="4"/>
  <c r="CI26" i="4"/>
  <c r="BV48" i="4"/>
  <c r="M39" i="6"/>
  <c r="M61" i="6"/>
  <c r="M59" i="6" s="1"/>
  <c r="AG116" i="4"/>
  <c r="AG117" i="4" s="1"/>
  <c r="AH71" i="4"/>
  <c r="CH49" i="4"/>
  <c r="CH46" i="4"/>
  <c r="BV54" i="4"/>
  <c r="BV55" i="4" s="1"/>
  <c r="BV56" i="4" s="1"/>
  <c r="BV58" i="4" s="1"/>
  <c r="CJ26" i="4"/>
  <c r="CI39" i="4"/>
  <c r="CI40" i="4" s="1"/>
  <c r="CI43" i="4" s="1"/>
  <c r="CK23" i="4"/>
  <c r="CK25" i="4"/>
  <c r="CL20" i="4"/>
  <c r="M14" i="6" s="1"/>
  <c r="CL22" i="4"/>
  <c r="M16" i="6" s="1"/>
  <c r="CK24" i="4"/>
  <c r="CL17" i="4"/>
  <c r="CM11" i="4"/>
  <c r="CN9" i="4"/>
  <c r="CM16" i="4"/>
  <c r="CL53" i="4"/>
  <c r="BU55" i="4"/>
  <c r="BU56" i="4" s="1"/>
  <c r="BU58" i="4" s="1"/>
  <c r="CP19" i="4"/>
  <c r="CN7" i="4"/>
  <c r="CJ29" i="4"/>
  <c r="CJ33" i="4"/>
  <c r="AG121" i="4" l="1"/>
  <c r="AG122" i="4"/>
  <c r="AH75" i="4"/>
  <c r="CK21" i="4"/>
  <c r="CK29" i="4" s="1"/>
  <c r="CL25" i="4"/>
  <c r="M19" i="6" s="1"/>
  <c r="M11" i="6"/>
  <c r="M15" i="6" s="1"/>
  <c r="BW48" i="4"/>
  <c r="BW54" i="4" s="1"/>
  <c r="BW55" i="4" s="1"/>
  <c r="BW56" i="4" s="1"/>
  <c r="BW58" i="4" s="1"/>
  <c r="M40" i="6"/>
  <c r="CI49" i="4"/>
  <c r="CI46" i="4"/>
  <c r="CJ39" i="4"/>
  <c r="CJ40" i="4" s="1"/>
  <c r="CJ43" i="4" s="1"/>
  <c r="CQ19" i="4"/>
  <c r="CO7" i="4"/>
  <c r="CL31" i="4"/>
  <c r="CK33" i="4"/>
  <c r="CR36" i="4"/>
  <c r="CM22" i="4"/>
  <c r="CM20" i="4"/>
  <c r="CO9" i="4"/>
  <c r="CN16" i="4"/>
  <c r="CM17" i="4"/>
  <c r="CN11" i="4"/>
  <c r="CL23" i="4"/>
  <c r="CL21" i="4" s="1"/>
  <c r="CL24" i="4"/>
  <c r="M18" i="6" s="1"/>
  <c r="CK26" i="4" l="1"/>
  <c r="CM31" i="4"/>
  <c r="CL33" i="4"/>
  <c r="M17" i="6"/>
  <c r="M20" i="6" s="1"/>
  <c r="BX48" i="4"/>
  <c r="BX54" i="4" s="1"/>
  <c r="BX55" i="4" s="1"/>
  <c r="BX56" i="4" s="1"/>
  <c r="BX58" i="4" s="1"/>
  <c r="AH76" i="4"/>
  <c r="AH77" i="4" s="1"/>
  <c r="AI73" i="4" s="1"/>
  <c r="CL26" i="4"/>
  <c r="CL39" i="4" s="1"/>
  <c r="CJ49" i="4"/>
  <c r="CJ46" i="4"/>
  <c r="CK39" i="4"/>
  <c r="CK40" i="4" s="1"/>
  <c r="CK43" i="4" s="1"/>
  <c r="CP7" i="4"/>
  <c r="CM23" i="4"/>
  <c r="CL29" i="4"/>
  <c r="CN17" i="4"/>
  <c r="CO11" i="4"/>
  <c r="CM25" i="4"/>
  <c r="CN20" i="4"/>
  <c r="CN22" i="4"/>
  <c r="CN31" i="4" s="1"/>
  <c r="CO16" i="4"/>
  <c r="CP9" i="4"/>
  <c r="CM24" i="4"/>
  <c r="CR19" i="4"/>
  <c r="CS36" i="4"/>
  <c r="CM21" i="4" l="1"/>
  <c r="CM28" i="4" s="1"/>
  <c r="BY48" i="4"/>
  <c r="BY54" i="4" s="1"/>
  <c r="M26" i="6"/>
  <c r="M27" i="6" s="1"/>
  <c r="M30" i="6" s="1"/>
  <c r="CM33" i="4"/>
  <c r="CN25" i="4"/>
  <c r="CM29" i="4"/>
  <c r="AH80" i="4"/>
  <c r="AI71" i="4"/>
  <c r="CK49" i="4"/>
  <c r="CN24" i="4"/>
  <c r="CK46" i="4"/>
  <c r="CT36" i="4"/>
  <c r="CN23" i="4"/>
  <c r="CN33" i="4" s="1"/>
  <c r="CL40" i="4"/>
  <c r="CL43" i="4" s="1"/>
  <c r="CS19" i="4"/>
  <c r="CO17" i="4"/>
  <c r="CP11" i="4"/>
  <c r="CQ7" i="4"/>
  <c r="CP16" i="4"/>
  <c r="CQ9" i="4"/>
  <c r="CO20" i="4"/>
  <c r="CO22" i="4"/>
  <c r="CO31" i="4" s="1"/>
  <c r="AH107" i="4" l="1"/>
  <c r="AH108" i="4"/>
  <c r="AH89" i="4"/>
  <c r="AH97" i="4"/>
  <c r="AH112" i="4" s="1"/>
  <c r="AI75" i="4"/>
  <c r="CM26" i="4"/>
  <c r="CM39" i="4" s="1"/>
  <c r="CM40" i="4" s="1"/>
  <c r="CM43" i="4" s="1"/>
  <c r="CM46" i="4" s="1"/>
  <c r="BZ48" i="4"/>
  <c r="BZ54" i="4" s="1"/>
  <c r="CN21" i="4"/>
  <c r="CN26" i="4" s="1"/>
  <c r="CN39" i="4" s="1"/>
  <c r="M33" i="6"/>
  <c r="M36" i="6"/>
  <c r="L35" i="6"/>
  <c r="L41" i="6" s="1"/>
  <c r="CO25" i="4"/>
  <c r="CO21" i="4" s="1"/>
  <c r="CL49" i="4"/>
  <c r="CO24" i="4"/>
  <c r="CL46" i="4"/>
  <c r="CP20" i="4"/>
  <c r="CP22" i="4"/>
  <c r="CP31" i="4" s="1"/>
  <c r="CT19" i="4"/>
  <c r="CU36" i="4"/>
  <c r="CQ16" i="4"/>
  <c r="CR9" i="4"/>
  <c r="CR7" i="4"/>
  <c r="BY55" i="4"/>
  <c r="BY56" i="4" s="1"/>
  <c r="BY58" i="4" s="1"/>
  <c r="CQ11" i="4"/>
  <c r="CP17" i="4"/>
  <c r="CO23" i="4"/>
  <c r="AH109" i="4" l="1"/>
  <c r="AI105" i="4" s="1"/>
  <c r="AH113" i="4"/>
  <c r="AH114" i="4" s="1"/>
  <c r="AH110" i="4"/>
  <c r="L42" i="6"/>
  <c r="L43" i="6" s="1"/>
  <c r="L45" i="6" s="1"/>
  <c r="CN40" i="4"/>
  <c r="CN43" i="4" s="1"/>
  <c r="CN28" i="4"/>
  <c r="CN29" i="4"/>
  <c r="CA48" i="4"/>
  <c r="CA54" i="4" s="1"/>
  <c r="CA55" i="4" s="1"/>
  <c r="CA56" i="4" s="1"/>
  <c r="CA58" i="4" s="1"/>
  <c r="CO33" i="4"/>
  <c r="CN46" i="4"/>
  <c r="CB48" i="4"/>
  <c r="CO29" i="4"/>
  <c r="CO28" i="4"/>
  <c r="AI76" i="4"/>
  <c r="AI80" i="4" s="1"/>
  <c r="AI107" i="4" s="1"/>
  <c r="CO26" i="4"/>
  <c r="CO39" i="4" s="1"/>
  <c r="CO40" i="4" s="1"/>
  <c r="CO43" i="4" s="1"/>
  <c r="CS7" i="4"/>
  <c r="CP23" i="4"/>
  <c r="CP33" i="4" s="1"/>
  <c r="CR16" i="4"/>
  <c r="CS9" i="4"/>
  <c r="CQ22" i="4"/>
  <c r="CQ31" i="4" s="1"/>
  <c r="CQ20" i="4"/>
  <c r="CP25" i="4"/>
  <c r="CP21" i="4" s="1"/>
  <c r="CV36" i="4"/>
  <c r="CU19" i="4"/>
  <c r="CR11" i="4"/>
  <c r="CQ17" i="4"/>
  <c r="BZ55" i="4"/>
  <c r="BZ56" i="4" s="1"/>
  <c r="BZ58" i="4" s="1"/>
  <c r="CP24" i="4"/>
  <c r="AI106" i="4" l="1"/>
  <c r="AI108" i="4" s="1"/>
  <c r="AI113" i="4" s="1"/>
  <c r="AI109" i="4"/>
  <c r="AJ105" i="4" s="1"/>
  <c r="AH116" i="4"/>
  <c r="AH117" i="4" s="1"/>
  <c r="AI89" i="4"/>
  <c r="AI97" i="4"/>
  <c r="AI112" i="4" s="1"/>
  <c r="CO46" i="4"/>
  <c r="CC48" i="4"/>
  <c r="CQ24" i="4"/>
  <c r="CP29" i="4"/>
  <c r="CP28" i="4"/>
  <c r="AI77" i="4"/>
  <c r="AJ73" i="4" s="1"/>
  <c r="CP26" i="4"/>
  <c r="CP39" i="4" s="1"/>
  <c r="CQ25" i="4"/>
  <c r="CQ21" i="4" s="1"/>
  <c r="CB54" i="4"/>
  <c r="CV19" i="4"/>
  <c r="CS16" i="4"/>
  <c r="CT9" i="4"/>
  <c r="CR22" i="4"/>
  <c r="CR20" i="4"/>
  <c r="CS11" i="4"/>
  <c r="CR17" i="4"/>
  <c r="CW36" i="4"/>
  <c r="CT7" i="4"/>
  <c r="CQ23" i="4"/>
  <c r="CQ33" i="4" s="1"/>
  <c r="AH121" i="4" l="1"/>
  <c r="AH122" i="4"/>
  <c r="AI114" i="4"/>
  <c r="AJ106" i="4"/>
  <c r="AI110" i="4"/>
  <c r="CP40" i="4"/>
  <c r="CP43" i="4" s="1"/>
  <c r="CD48" i="4" s="1"/>
  <c r="CR31" i="4"/>
  <c r="CQ29" i="4"/>
  <c r="CQ28" i="4"/>
  <c r="AI116" i="4"/>
  <c r="AI117" i="4" s="1"/>
  <c r="AJ71" i="4"/>
  <c r="CC54" i="4"/>
  <c r="CC55" i="4" s="1"/>
  <c r="CC56" i="4" s="1"/>
  <c r="CC58" i="4" s="1"/>
  <c r="CQ26" i="4"/>
  <c r="CQ39" i="4" s="1"/>
  <c r="CQ40" i="4" s="1"/>
  <c r="CQ43" i="4" s="1"/>
  <c r="CR23" i="4"/>
  <c r="CR33" i="4" s="1"/>
  <c r="CT11" i="4"/>
  <c r="CS17" i="4"/>
  <c r="CR24" i="4"/>
  <c r="CW19" i="4"/>
  <c r="CR25" i="4"/>
  <c r="CR21" i="4" s="1"/>
  <c r="CS20" i="4"/>
  <c r="CS22" i="4"/>
  <c r="CS31" i="4" s="1"/>
  <c r="CX36" i="4"/>
  <c r="N23" i="6" s="1"/>
  <c r="CU7" i="4"/>
  <c r="CB55" i="4"/>
  <c r="CB56" i="4" s="1"/>
  <c r="CB58" i="4" s="1"/>
  <c r="CU9" i="4"/>
  <c r="CT16" i="4"/>
  <c r="AI121" i="4" l="1"/>
  <c r="AI122" i="4"/>
  <c r="CP46" i="4"/>
  <c r="AJ75" i="4"/>
  <c r="CQ46" i="4"/>
  <c r="CE48" i="4"/>
  <c r="CS24" i="4"/>
  <c r="CR29" i="4"/>
  <c r="CR28" i="4"/>
  <c r="CD54" i="4"/>
  <c r="CD55" i="4" s="1"/>
  <c r="CD56" i="4" s="1"/>
  <c r="CD58" i="4" s="1"/>
  <c r="CR26" i="4"/>
  <c r="CS23" i="4"/>
  <c r="CS33" i="4" s="1"/>
  <c r="CT22" i="4"/>
  <c r="CT31" i="4" s="1"/>
  <c r="CT20" i="4"/>
  <c r="CT17" i="4"/>
  <c r="CU11" i="4"/>
  <c r="CX19" i="4"/>
  <c r="N13" i="6" s="1"/>
  <c r="CV7" i="4"/>
  <c r="CU16" i="4"/>
  <c r="CV9" i="4"/>
  <c r="CS25" i="4"/>
  <c r="CS21" i="4" s="1"/>
  <c r="CS29" i="4" l="1"/>
  <c r="CS28" i="4"/>
  <c r="AJ76" i="4"/>
  <c r="AJ80" i="4" s="1"/>
  <c r="CS26" i="4"/>
  <c r="CS39" i="4" s="1"/>
  <c r="CS40" i="4" s="1"/>
  <c r="CS43" i="4" s="1"/>
  <c r="CR39" i="4"/>
  <c r="CR40" i="4" s="1"/>
  <c r="CR43" i="4" s="1"/>
  <c r="CE54" i="4"/>
  <c r="CU17" i="4"/>
  <c r="CV11" i="4"/>
  <c r="CV16" i="4"/>
  <c r="CW9" i="4"/>
  <c r="CT23" i="4"/>
  <c r="CT33" i="4" s="1"/>
  <c r="CT25" i="4"/>
  <c r="CT21" i="4" s="1"/>
  <c r="CU20" i="4"/>
  <c r="CU22" i="4"/>
  <c r="CU31" i="4" s="1"/>
  <c r="CT24" i="4"/>
  <c r="CW7" i="4"/>
  <c r="AJ107" i="4" l="1"/>
  <c r="AJ108" i="4"/>
  <c r="AJ113" i="4" s="1"/>
  <c r="AJ89" i="4"/>
  <c r="AJ97" i="4"/>
  <c r="AJ112" i="4" s="1"/>
  <c r="AJ77" i="4"/>
  <c r="AK73" i="4" s="1"/>
  <c r="CG48" i="4"/>
  <c r="CG54" i="4" s="1"/>
  <c r="CF48" i="4"/>
  <c r="CF54" i="4" s="1"/>
  <c r="CF55" i="4" s="1"/>
  <c r="CF56" i="4" s="1"/>
  <c r="CF58" i="4" s="1"/>
  <c r="CU24" i="4"/>
  <c r="CT29" i="4"/>
  <c r="CT28" i="4"/>
  <c r="AK71" i="4"/>
  <c r="CR46" i="4"/>
  <c r="CS46" i="4"/>
  <c r="CT26" i="4"/>
  <c r="CV22" i="4"/>
  <c r="CV31" i="4" s="1"/>
  <c r="CV20" i="4"/>
  <c r="CU25" i="4"/>
  <c r="CU21" i="4" s="1"/>
  <c r="CW16" i="4"/>
  <c r="CX9" i="4"/>
  <c r="CX16" i="4" s="1"/>
  <c r="N10" i="6" s="1"/>
  <c r="CV17" i="4"/>
  <c r="CW11" i="4"/>
  <c r="CU23" i="4"/>
  <c r="CU33" i="4" s="1"/>
  <c r="CX7" i="4"/>
  <c r="N8" i="6" s="1"/>
  <c r="CE55" i="4"/>
  <c r="CE56" i="4" s="1"/>
  <c r="CE58" i="4" s="1"/>
  <c r="AJ114" i="4" l="1"/>
  <c r="AJ110" i="4"/>
  <c r="AJ109" i="4"/>
  <c r="AK105" i="4" s="1"/>
  <c r="AK75" i="4"/>
  <c r="CU28" i="4"/>
  <c r="CU29" i="4"/>
  <c r="AJ116" i="4"/>
  <c r="AJ117" i="4" s="1"/>
  <c r="CU26" i="4"/>
  <c r="CT39" i="4"/>
  <c r="CT40" i="4" s="1"/>
  <c r="CT43" i="4" s="1"/>
  <c r="CV23" i="4"/>
  <c r="CV33" i="4" s="1"/>
  <c r="CX22" i="4"/>
  <c r="CX20" i="4"/>
  <c r="CV24" i="4"/>
  <c r="CV25" i="4"/>
  <c r="CV21" i="4" s="1"/>
  <c r="CX11" i="4"/>
  <c r="CW17" i="4"/>
  <c r="CG55" i="4"/>
  <c r="CG56" i="4" s="1"/>
  <c r="CG58" i="4" s="1"/>
  <c r="CW22" i="4"/>
  <c r="CW31" i="4" s="1"/>
  <c r="CW20" i="4"/>
  <c r="AJ122" i="4" l="1"/>
  <c r="AJ121" i="4"/>
  <c r="AK106" i="4"/>
  <c r="N16" i="6"/>
  <c r="N14" i="6"/>
  <c r="CX31" i="4"/>
  <c r="CH48" i="4"/>
  <c r="CH54" i="4" s="1"/>
  <c r="CV29" i="4"/>
  <c r="CV28" i="4"/>
  <c r="AK76" i="4"/>
  <c r="AK77" i="4" s="1"/>
  <c r="AL73" i="4" s="1"/>
  <c r="CT46" i="4"/>
  <c r="CV26" i="4"/>
  <c r="CV39" i="4" s="1"/>
  <c r="CV40" i="4" s="1"/>
  <c r="CV43" i="4" s="1"/>
  <c r="CU39" i="4"/>
  <c r="CU40" i="4" s="1"/>
  <c r="CU43" i="4" s="1"/>
  <c r="CI48" i="4" s="1"/>
  <c r="CX17" i="4"/>
  <c r="N11" i="6" s="1"/>
  <c r="CW23" i="4"/>
  <c r="CW33" i="4" s="1"/>
  <c r="CW24" i="4"/>
  <c r="CW25" i="4"/>
  <c r="CW21" i="4" s="1"/>
  <c r="N15" i="6" l="1"/>
  <c r="AK80" i="4"/>
  <c r="AK107" i="4" s="1"/>
  <c r="CJ48" i="4"/>
  <c r="CW29" i="4"/>
  <c r="CW28" i="4"/>
  <c r="AL71" i="4"/>
  <c r="CX25" i="4"/>
  <c r="N19" i="6" s="1"/>
  <c r="CX24" i="4"/>
  <c r="N18" i="6" s="1"/>
  <c r="CX23" i="4"/>
  <c r="N17" i="6" s="1"/>
  <c r="CU46" i="4"/>
  <c r="CI54" i="4"/>
  <c r="CI55" i="4" s="1"/>
  <c r="CI56" i="4" s="1"/>
  <c r="CI58" i="4" s="1"/>
  <c r="CW26" i="4"/>
  <c r="CV46" i="4"/>
  <c r="CH55" i="4"/>
  <c r="CH56" i="4" s="1"/>
  <c r="CH58" i="4" s="1"/>
  <c r="AK108" i="4" l="1"/>
  <c r="AK113" i="4" s="1"/>
  <c r="AK89" i="4"/>
  <c r="AK97" i="4"/>
  <c r="AK112" i="4" s="1"/>
  <c r="AL75" i="4"/>
  <c r="N20" i="6"/>
  <c r="CX21" i="4"/>
  <c r="CX26" i="4" s="1"/>
  <c r="CX39" i="4" s="1"/>
  <c r="CX33" i="4"/>
  <c r="AK116" i="4"/>
  <c r="AK117" i="4" s="1"/>
  <c r="CW39" i="4"/>
  <c r="CW40" i="4" s="1"/>
  <c r="CW43" i="4" s="1"/>
  <c r="CK48" i="4" s="1"/>
  <c r="CJ54" i="4"/>
  <c r="AK122" i="4" l="1"/>
  <c r="AK121" i="4"/>
  <c r="AK114" i="4"/>
  <c r="AK109" i="4"/>
  <c r="AL105" i="4" s="1"/>
  <c r="AK110" i="4"/>
  <c r="CX29" i="4"/>
  <c r="CX28" i="4"/>
  <c r="N26" i="6"/>
  <c r="N27" i="6" s="1"/>
  <c r="N30" i="6" s="1"/>
  <c r="CX40" i="4"/>
  <c r="CX43" i="4" s="1"/>
  <c r="CX46" i="4" s="1"/>
  <c r="AL76" i="4"/>
  <c r="AL80" i="4" s="1"/>
  <c r="AL107" i="4" s="1"/>
  <c r="CW46" i="4"/>
  <c r="CK54" i="4"/>
  <c r="CK55" i="4" s="1"/>
  <c r="CK56" i="4" s="1"/>
  <c r="CK58" i="4" s="1"/>
  <c r="CJ55" i="4"/>
  <c r="CJ56" i="4" s="1"/>
  <c r="CJ58" i="4" s="1"/>
  <c r="AL106" i="4" l="1"/>
  <c r="AL108" i="4" s="1"/>
  <c r="AL113" i="4" s="1"/>
  <c r="N33" i="6"/>
  <c r="AL89" i="4"/>
  <c r="AL97" i="4"/>
  <c r="AL112" i="4" s="1"/>
  <c r="CL48" i="4"/>
  <c r="CL54" i="4" s="1"/>
  <c r="CL55" i="4" s="1"/>
  <c r="CL56" i="4" s="1"/>
  <c r="CL58" i="4" s="1"/>
  <c r="M35" i="6"/>
  <c r="M41" i="6" s="1"/>
  <c r="AL77" i="4"/>
  <c r="AM73" i="4" s="1"/>
  <c r="AL109" i="4" l="1"/>
  <c r="AM105" i="4" s="1"/>
  <c r="AL114" i="4"/>
  <c r="AL110" i="4"/>
  <c r="D61" i="4"/>
  <c r="M42" i="6"/>
  <c r="M43" i="6" s="1"/>
  <c r="AM71" i="4"/>
  <c r="D62" i="4"/>
  <c r="D60" i="4"/>
  <c r="AM106" i="4" l="1"/>
  <c r="B115" i="6"/>
  <c r="AM75" i="4"/>
  <c r="M45" i="6"/>
  <c r="AL116" i="4"/>
  <c r="AL117" i="4" s="1"/>
  <c r="AL122" i="4" l="1"/>
  <c r="AL121" i="4"/>
  <c r="D48" i="6"/>
  <c r="D47" i="6"/>
  <c r="D49" i="6"/>
  <c r="AM76" i="4"/>
  <c r="AM80" i="4" s="1"/>
  <c r="AM107" i="4" s="1"/>
  <c r="AM108" i="4" l="1"/>
  <c r="AM113" i="4" s="1"/>
  <c r="AM89" i="4"/>
  <c r="AM97" i="4"/>
  <c r="AM112" i="4" s="1"/>
  <c r="AM77" i="4"/>
  <c r="AN73" i="4" s="1"/>
  <c r="AM114" i="4" l="1"/>
  <c r="AM109" i="4"/>
  <c r="AN105" i="4" s="1"/>
  <c r="AM110" i="4"/>
  <c r="AN71" i="4"/>
  <c r="AN106" i="4" l="1"/>
  <c r="AN75" i="4"/>
  <c r="AM116" i="4"/>
  <c r="AM117" i="4" s="1"/>
  <c r="AM122" i="4" l="1"/>
  <c r="AM121" i="4"/>
  <c r="AN76" i="4"/>
  <c r="AN77" i="4" s="1"/>
  <c r="AO73" i="4" s="1"/>
  <c r="AN80" i="4" l="1"/>
  <c r="AO71" i="4"/>
  <c r="AN107" i="4" l="1"/>
  <c r="AN108" i="4"/>
  <c r="AN113" i="4" s="1"/>
  <c r="AN89" i="4"/>
  <c r="AN97" i="4"/>
  <c r="AN112" i="4" s="1"/>
  <c r="AO75" i="4"/>
  <c r="AN114" i="4" l="1"/>
  <c r="AN110" i="4"/>
  <c r="AN109" i="4"/>
  <c r="AO105" i="4" s="1"/>
  <c r="AN116" i="4"/>
  <c r="AN117" i="4" s="1"/>
  <c r="AO76" i="4"/>
  <c r="AO77" i="4" s="1"/>
  <c r="AP73" i="4" s="1"/>
  <c r="AN122" i="4" l="1"/>
  <c r="AN121" i="4"/>
  <c r="AO106" i="4"/>
  <c r="AO80" i="4"/>
  <c r="AP71" i="4"/>
  <c r="AO97" i="4" l="1"/>
  <c r="AO112" i="4" s="1"/>
  <c r="AO107" i="4"/>
  <c r="AO108" i="4"/>
  <c r="AO113" i="4" s="1"/>
  <c r="AO114" i="4" s="1"/>
  <c r="AP75" i="4"/>
  <c r="I62" i="6" s="1"/>
  <c r="I58" i="6"/>
  <c r="I65" i="6" s="1"/>
  <c r="AO89" i="4"/>
  <c r="AO110" i="4" l="1"/>
  <c r="AO109" i="4"/>
  <c r="AP105" i="4" s="1"/>
  <c r="I63" i="6"/>
  <c r="I64" i="6" s="1"/>
  <c r="AP76" i="4"/>
  <c r="AP77" i="4" s="1"/>
  <c r="AQ73" i="4" s="1"/>
  <c r="AP106" i="4" l="1"/>
  <c r="AO116" i="4"/>
  <c r="AO117" i="4" s="1"/>
  <c r="J60" i="6"/>
  <c r="I67" i="6"/>
  <c r="AQ71" i="4"/>
  <c r="AP80" i="4"/>
  <c r="AP107" i="4" s="1"/>
  <c r="AO122" i="4" l="1"/>
  <c r="AO121" i="4"/>
  <c r="AP108" i="4"/>
  <c r="AP113" i="4" s="1"/>
  <c r="I83" i="6"/>
  <c r="I93" i="6" s="1"/>
  <c r="AP89" i="4"/>
  <c r="AP97" i="4"/>
  <c r="AP112" i="4" s="1"/>
  <c r="AQ75" i="4"/>
  <c r="AP114" i="4" l="1"/>
  <c r="AP110" i="4"/>
  <c r="AP109" i="4"/>
  <c r="AQ105" i="4" s="1"/>
  <c r="I92" i="6"/>
  <c r="I97" i="6"/>
  <c r="I98" i="6"/>
  <c r="I101" i="6" s="1"/>
  <c r="I102" i="6" s="1"/>
  <c r="AP116" i="4"/>
  <c r="AP117" i="4" s="1"/>
  <c r="AQ76" i="4"/>
  <c r="AQ77" i="4" s="1"/>
  <c r="AR73" i="4" s="1"/>
  <c r="AP122" i="4" l="1"/>
  <c r="AP121" i="4"/>
  <c r="AQ106" i="4"/>
  <c r="I107" i="6"/>
  <c r="I106" i="6"/>
  <c r="I99" i="6"/>
  <c r="I95" i="6"/>
  <c r="I94" i="6"/>
  <c r="J90" i="6" s="1"/>
  <c r="AQ80" i="4"/>
  <c r="AR71" i="4"/>
  <c r="AQ107" i="4" l="1"/>
  <c r="AQ108" i="4"/>
  <c r="AQ113" i="4" s="1"/>
  <c r="J91" i="6"/>
  <c r="AQ89" i="4"/>
  <c r="AQ97" i="4"/>
  <c r="AQ112" i="4" s="1"/>
  <c r="AR75" i="4"/>
  <c r="AQ110" i="4" l="1"/>
  <c r="AQ109" i="4"/>
  <c r="AR105" i="4" s="1"/>
  <c r="AQ114" i="4"/>
  <c r="AR76" i="4"/>
  <c r="AR77" i="4" s="1"/>
  <c r="AS73" i="4" s="1"/>
  <c r="AR106" i="4" l="1"/>
  <c r="AQ116" i="4"/>
  <c r="AQ117" i="4" s="1"/>
  <c r="AR80" i="4"/>
  <c r="AR107" i="4" s="1"/>
  <c r="AS71" i="4"/>
  <c r="AQ122" i="4" l="1"/>
  <c r="AQ121" i="4"/>
  <c r="AR108" i="4"/>
  <c r="AR113" i="4" s="1"/>
  <c r="AR89" i="4"/>
  <c r="AR97" i="4"/>
  <c r="AR112" i="4" s="1"/>
  <c r="AS75" i="4"/>
  <c r="AR114" i="4" l="1"/>
  <c r="AR109" i="4"/>
  <c r="AS105" i="4" s="1"/>
  <c r="AR110" i="4"/>
  <c r="AS76" i="4"/>
  <c r="AS77" i="4" s="1"/>
  <c r="AT73" i="4" s="1"/>
  <c r="AS106" i="4" l="1"/>
  <c r="AR116" i="4"/>
  <c r="AR117" i="4" s="1"/>
  <c r="AS80" i="4"/>
  <c r="AT71" i="4"/>
  <c r="AS97" i="4" l="1"/>
  <c r="AS112" i="4" s="1"/>
  <c r="AS107" i="4"/>
  <c r="AR122" i="4"/>
  <c r="AR121" i="4"/>
  <c r="AS108" i="4"/>
  <c r="AS113" i="4" s="1"/>
  <c r="AS114" i="4" s="1"/>
  <c r="AT75" i="4"/>
  <c r="AS89" i="4"/>
  <c r="AS110" i="4" l="1"/>
  <c r="AS109" i="4"/>
  <c r="AT105" i="4" s="1"/>
  <c r="AS116" i="4"/>
  <c r="AS117" i="4" s="1"/>
  <c r="AT76" i="4"/>
  <c r="AT77" i="4" s="1"/>
  <c r="AU73" i="4" s="1"/>
  <c r="AS122" i="4" l="1"/>
  <c r="AS121" i="4"/>
  <c r="AT106" i="4"/>
  <c r="AT80" i="4"/>
  <c r="AT107" i="4" s="1"/>
  <c r="AU71" i="4"/>
  <c r="AT108" i="4" l="1"/>
  <c r="AT113" i="4" s="1"/>
  <c r="AT89" i="4"/>
  <c r="AT97" i="4"/>
  <c r="AT112" i="4" s="1"/>
  <c r="AU75" i="4"/>
  <c r="AT114" i="4" l="1"/>
  <c r="AT109" i="4"/>
  <c r="AU105" i="4" s="1"/>
  <c r="AT110" i="4"/>
  <c r="AU76" i="4"/>
  <c r="AU77" i="4" s="1"/>
  <c r="AV73" i="4" s="1"/>
  <c r="AU106" i="4" l="1"/>
  <c r="AT116" i="4"/>
  <c r="AT117" i="4" s="1"/>
  <c r="AU80" i="4"/>
  <c r="AU107" i="4" s="1"/>
  <c r="AV71" i="4"/>
  <c r="AT122" i="4" l="1"/>
  <c r="AT121" i="4"/>
  <c r="AU108" i="4"/>
  <c r="AU113" i="4" s="1"/>
  <c r="AU89" i="4"/>
  <c r="AU97" i="4"/>
  <c r="AU112" i="4" s="1"/>
  <c r="AV75" i="4"/>
  <c r="AU114" i="4" l="1"/>
  <c r="AU109" i="4"/>
  <c r="AV105" i="4" s="1"/>
  <c r="AU110" i="4"/>
  <c r="AU116" i="4"/>
  <c r="AU117" i="4" s="1"/>
  <c r="AV76" i="4"/>
  <c r="AV80" i="4" s="1"/>
  <c r="AV107" i="4" s="1"/>
  <c r="AU122" i="4" l="1"/>
  <c r="AU121" i="4"/>
  <c r="AV106" i="4"/>
  <c r="AV108" i="4" s="1"/>
  <c r="AV113" i="4" s="1"/>
  <c r="AV89" i="4"/>
  <c r="AV97" i="4"/>
  <c r="AV112" i="4" s="1"/>
  <c r="AV77" i="4"/>
  <c r="AW73" i="4" s="1"/>
  <c r="AW71" i="4" s="1"/>
  <c r="AV109" i="4" l="1"/>
  <c r="AW105" i="4" s="1"/>
  <c r="AV114" i="4"/>
  <c r="AV110" i="4"/>
  <c r="AW75" i="4"/>
  <c r="AV116" i="4"/>
  <c r="AV117" i="4" s="1"/>
  <c r="AV121" i="4" l="1"/>
  <c r="AV122" i="4"/>
  <c r="AW106" i="4"/>
  <c r="AW76" i="4"/>
  <c r="AW80" i="4" s="1"/>
  <c r="AW107" i="4" s="1"/>
  <c r="AW108" i="4" l="1"/>
  <c r="AW113" i="4" s="1"/>
  <c r="AW89" i="4"/>
  <c r="AW97" i="4"/>
  <c r="AW112" i="4" s="1"/>
  <c r="AW77" i="4"/>
  <c r="AX73" i="4" s="1"/>
  <c r="AW114" i="4" l="1"/>
  <c r="AW109" i="4"/>
  <c r="AX105" i="4" s="1"/>
  <c r="AW110" i="4"/>
  <c r="AW116" i="4"/>
  <c r="AW117" i="4" s="1"/>
  <c r="AX71" i="4"/>
  <c r="AW121" i="4" l="1"/>
  <c r="AW122" i="4"/>
  <c r="AX106" i="4"/>
  <c r="AX75" i="4"/>
  <c r="AX76" i="4" l="1"/>
  <c r="AX80" i="4" s="1"/>
  <c r="AX107" i="4" s="1"/>
  <c r="AX108" i="4" l="1"/>
  <c r="AX113" i="4" s="1"/>
  <c r="AX89" i="4"/>
  <c r="AX97" i="4"/>
  <c r="AX112" i="4" s="1"/>
  <c r="AX77" i="4"/>
  <c r="AY73" i="4" s="1"/>
  <c r="AX114" i="4" l="1"/>
  <c r="AX109" i="4"/>
  <c r="AY105" i="4" s="1"/>
  <c r="AX110" i="4"/>
  <c r="AX116" i="4"/>
  <c r="AX117" i="4" s="1"/>
  <c r="AY71" i="4"/>
  <c r="AX121" i="4" l="1"/>
  <c r="AX122" i="4"/>
  <c r="AY106" i="4"/>
  <c r="AY75" i="4"/>
  <c r="AY76" i="4" l="1"/>
  <c r="AY80" i="4" s="1"/>
  <c r="AY107" i="4" s="1"/>
  <c r="AY108" i="4" l="1"/>
  <c r="AY113" i="4" s="1"/>
  <c r="AY114" i="4" s="1"/>
  <c r="AY89" i="4"/>
  <c r="AY97" i="4"/>
  <c r="AY112" i="4" s="1"/>
  <c r="AY77" i="4"/>
  <c r="AZ73" i="4" s="1"/>
  <c r="AY109" i="4" l="1"/>
  <c r="AZ105" i="4" s="1"/>
  <c r="AY110" i="4"/>
  <c r="AY116" i="4"/>
  <c r="AY117" i="4" s="1"/>
  <c r="AZ71" i="4"/>
  <c r="AY121" i="4" l="1"/>
  <c r="AY122" i="4"/>
  <c r="AZ106" i="4"/>
  <c r="AZ75" i="4"/>
  <c r="AZ76" i="4" l="1"/>
  <c r="AZ77" i="4" s="1"/>
  <c r="BA73" i="4" s="1"/>
  <c r="AZ80" i="4" l="1"/>
  <c r="BA71" i="4"/>
  <c r="AZ107" i="4" l="1"/>
  <c r="AZ108" i="4"/>
  <c r="AZ113" i="4" s="1"/>
  <c r="AZ89" i="4"/>
  <c r="AZ97" i="4"/>
  <c r="AZ112" i="4" s="1"/>
  <c r="BA75" i="4"/>
  <c r="AZ116" i="4"/>
  <c r="AZ117" i="4" s="1"/>
  <c r="AZ121" i="4" l="1"/>
  <c r="AZ122" i="4"/>
  <c r="AZ114" i="4"/>
  <c r="AZ110" i="4"/>
  <c r="AZ109" i="4"/>
  <c r="BA105" i="4" s="1"/>
  <c r="BA76" i="4"/>
  <c r="BA77" i="4" s="1"/>
  <c r="BB73" i="4" s="1"/>
  <c r="BA106" i="4" l="1"/>
  <c r="BA80" i="4"/>
  <c r="BB71" i="4"/>
  <c r="BA97" i="4" l="1"/>
  <c r="BA112" i="4" s="1"/>
  <c r="BA107" i="4"/>
  <c r="BA108" i="4"/>
  <c r="BA113" i="4" s="1"/>
  <c r="BA114" i="4" s="1"/>
  <c r="BB75" i="4"/>
  <c r="J58" i="6"/>
  <c r="J65" i="6" s="1"/>
  <c r="BA89" i="4"/>
  <c r="J62" i="6"/>
  <c r="BA110" i="4" l="1"/>
  <c r="BA109" i="4"/>
  <c r="BB105" i="4" s="1"/>
  <c r="J63" i="6"/>
  <c r="J67" i="6" s="1"/>
  <c r="BA116" i="4"/>
  <c r="BA117" i="4" s="1"/>
  <c r="BB76" i="4"/>
  <c r="BB77" i="4" s="1"/>
  <c r="BC73" i="4" s="1"/>
  <c r="BA121" i="4" l="1"/>
  <c r="BA122" i="4"/>
  <c r="BB106" i="4"/>
  <c r="J83" i="6"/>
  <c r="J93" i="6" s="1"/>
  <c r="J64" i="6"/>
  <c r="BB80" i="4"/>
  <c r="BB107" i="4" s="1"/>
  <c r="BC71" i="4"/>
  <c r="BB108" i="4" l="1"/>
  <c r="BB113" i="4" s="1"/>
  <c r="J97" i="6"/>
  <c r="J92" i="6"/>
  <c r="J98" i="6"/>
  <c r="K60" i="6"/>
  <c r="BB89" i="4"/>
  <c r="BB97" i="4"/>
  <c r="BB112" i="4" s="1"/>
  <c r="BC75" i="4"/>
  <c r="BB109" i="4" l="1"/>
  <c r="BC105" i="4" s="1"/>
  <c r="BB114" i="4"/>
  <c r="BB110" i="4"/>
  <c r="J95" i="6"/>
  <c r="J94" i="6"/>
  <c r="K90" i="6" s="1"/>
  <c r="J99" i="6"/>
  <c r="BC76" i="4"/>
  <c r="BC77" i="4" s="1"/>
  <c r="BD73" i="4" s="1"/>
  <c r="BC106" i="4" l="1"/>
  <c r="K91" i="6"/>
  <c r="BB116" i="4"/>
  <c r="BB117" i="4" s="1"/>
  <c r="J101" i="6"/>
  <c r="J102" i="6" s="1"/>
  <c r="BC80" i="4"/>
  <c r="BD71" i="4"/>
  <c r="BC97" i="4" l="1"/>
  <c r="BC112" i="4" s="1"/>
  <c r="BC107" i="4"/>
  <c r="BB121" i="4"/>
  <c r="BB122" i="4"/>
  <c r="BC108" i="4"/>
  <c r="BC113" i="4" s="1"/>
  <c r="BC114" i="4" s="1"/>
  <c r="J107" i="6"/>
  <c r="J106" i="6"/>
  <c r="BD75" i="4"/>
  <c r="BC89" i="4"/>
  <c r="BC110" i="4" l="1"/>
  <c r="BC109" i="4"/>
  <c r="BD105" i="4" s="1"/>
  <c r="BD76" i="4"/>
  <c r="BD77" i="4" s="1"/>
  <c r="BE73" i="4" s="1"/>
  <c r="BD106" i="4" l="1"/>
  <c r="BC116" i="4"/>
  <c r="BC117" i="4" s="1"/>
  <c r="BD80" i="4"/>
  <c r="BD107" i="4" s="1"/>
  <c r="BE71" i="4"/>
  <c r="BC121" i="4" l="1"/>
  <c r="BC122" i="4"/>
  <c r="BD108" i="4"/>
  <c r="BD113" i="4" s="1"/>
  <c r="BD89" i="4"/>
  <c r="BD97" i="4"/>
  <c r="BD112" i="4" s="1"/>
  <c r="BE75" i="4"/>
  <c r="BD116" i="4"/>
  <c r="BD117" i="4" s="1"/>
  <c r="BD121" i="4" l="1"/>
  <c r="BD122" i="4"/>
  <c r="BD114" i="4"/>
  <c r="BD109" i="4"/>
  <c r="BE105" i="4" s="1"/>
  <c r="BD110" i="4"/>
  <c r="BE76" i="4"/>
  <c r="BE77" i="4" s="1"/>
  <c r="BF73" i="4" s="1"/>
  <c r="BE106" i="4" l="1"/>
  <c r="BE80" i="4"/>
  <c r="BF71" i="4"/>
  <c r="BE97" i="4" l="1"/>
  <c r="BE112" i="4" s="1"/>
  <c r="BE107" i="4"/>
  <c r="BE108" i="4"/>
  <c r="BE113" i="4" s="1"/>
  <c r="BE114" i="4" s="1"/>
  <c r="BF75" i="4"/>
  <c r="BE89" i="4"/>
  <c r="BE110" i="4" l="1"/>
  <c r="BE109" i="4"/>
  <c r="BF105" i="4" s="1"/>
  <c r="BF76" i="4"/>
  <c r="BF77" i="4" s="1"/>
  <c r="BG73" i="4" s="1"/>
  <c r="BF106" i="4" l="1"/>
  <c r="BE116" i="4"/>
  <c r="BE117" i="4" s="1"/>
  <c r="BF80" i="4"/>
  <c r="BF107" i="4" s="1"/>
  <c r="BG71" i="4"/>
  <c r="BE121" i="4" l="1"/>
  <c r="BE122" i="4"/>
  <c r="BF108" i="4"/>
  <c r="BF113" i="4" s="1"/>
  <c r="BF89" i="4"/>
  <c r="BF97" i="4"/>
  <c r="BF112" i="4" s="1"/>
  <c r="BG75" i="4"/>
  <c r="BF114" i="4" l="1"/>
  <c r="BF109" i="4"/>
  <c r="BG105" i="4" s="1"/>
  <c r="BF110" i="4"/>
  <c r="BF116" i="4"/>
  <c r="BF117" i="4" s="1"/>
  <c r="BG76" i="4"/>
  <c r="BG80" i="4" s="1"/>
  <c r="BG107" i="4" s="1"/>
  <c r="BF121" i="4" l="1"/>
  <c r="BF122" i="4"/>
  <c r="BG106" i="4"/>
  <c r="BG108" i="4" s="1"/>
  <c r="BG113" i="4" s="1"/>
  <c r="BG114" i="4" s="1"/>
  <c r="BG89" i="4"/>
  <c r="BG97" i="4"/>
  <c r="BG112" i="4" s="1"/>
  <c r="BG77" i="4"/>
  <c r="BH73" i="4" s="1"/>
  <c r="BH71" i="4" s="1"/>
  <c r="BG109" i="4" l="1"/>
  <c r="BH105" i="4" s="1"/>
  <c r="BG110" i="4"/>
  <c r="BH75" i="4"/>
  <c r="BG116" i="4"/>
  <c r="BG117" i="4" s="1"/>
  <c r="BG121" i="4" l="1"/>
  <c r="BG122" i="4"/>
  <c r="BH106" i="4"/>
  <c r="BH76" i="4"/>
  <c r="BH80" i="4" s="1"/>
  <c r="BH107" i="4" s="1"/>
  <c r="BH108" i="4" l="1"/>
  <c r="BH113" i="4" s="1"/>
  <c r="BH89" i="4"/>
  <c r="BH97" i="4"/>
  <c r="BH112" i="4" s="1"/>
  <c r="BH77" i="4"/>
  <c r="BI73" i="4" s="1"/>
  <c r="BI71" i="4"/>
  <c r="BH114" i="4" l="1"/>
  <c r="BH110" i="4"/>
  <c r="BH109" i="4"/>
  <c r="BI105" i="4" s="1"/>
  <c r="BI75" i="4"/>
  <c r="BH116" i="4"/>
  <c r="BH117" i="4" s="1"/>
  <c r="BH122" i="4" l="1"/>
  <c r="BH121" i="4"/>
  <c r="BI106" i="4"/>
  <c r="BI76" i="4"/>
  <c r="BI80" i="4" s="1"/>
  <c r="BI107" i="4" s="1"/>
  <c r="BI108" i="4" l="1"/>
  <c r="BI113" i="4" s="1"/>
  <c r="BI89" i="4"/>
  <c r="BI97" i="4"/>
  <c r="BI112" i="4" s="1"/>
  <c r="BI77" i="4"/>
  <c r="BJ73" i="4" s="1"/>
  <c r="BI114" i="4" l="1"/>
  <c r="BI110" i="4"/>
  <c r="BI109" i="4"/>
  <c r="BJ105" i="4" s="1"/>
  <c r="BI116" i="4"/>
  <c r="BI117" i="4" s="1"/>
  <c r="BJ71" i="4"/>
  <c r="BI122" i="4" l="1"/>
  <c r="BI121" i="4"/>
  <c r="BJ106" i="4"/>
  <c r="BJ75" i="4"/>
  <c r="BJ76" i="4" l="1"/>
  <c r="BJ80" i="4" s="1"/>
  <c r="BJ107" i="4" s="1"/>
  <c r="BJ108" i="4" l="1"/>
  <c r="BJ113" i="4" s="1"/>
  <c r="BJ89" i="4"/>
  <c r="BJ97" i="4"/>
  <c r="BJ112" i="4" s="1"/>
  <c r="BJ77" i="4"/>
  <c r="BK73" i="4" s="1"/>
  <c r="BJ114" i="4" l="1"/>
  <c r="BJ109" i="4"/>
  <c r="BK105" i="4" s="1"/>
  <c r="BJ110" i="4"/>
  <c r="BJ116" i="4"/>
  <c r="BJ117" i="4" s="1"/>
  <c r="BK71" i="4"/>
  <c r="BJ122" i="4" l="1"/>
  <c r="BJ121" i="4"/>
  <c r="BK106" i="4"/>
  <c r="BK75" i="4"/>
  <c r="BK76" i="4" l="1"/>
  <c r="BK80" i="4" s="1"/>
  <c r="BK107" i="4" s="1"/>
  <c r="BK108" i="4" l="1"/>
  <c r="BK113" i="4" s="1"/>
  <c r="BK89" i="4"/>
  <c r="BK97" i="4"/>
  <c r="BK112" i="4" s="1"/>
  <c r="BK77" i="4"/>
  <c r="BL73" i="4" s="1"/>
  <c r="BK114" i="4" l="1"/>
  <c r="BK109" i="4"/>
  <c r="BL105" i="4" s="1"/>
  <c r="BK110" i="4"/>
  <c r="BL71" i="4"/>
  <c r="BL106" i="4" l="1"/>
  <c r="BL75" i="4"/>
  <c r="BK116" i="4"/>
  <c r="BK117" i="4" s="1"/>
  <c r="BK122" i="4" l="1"/>
  <c r="BK121" i="4"/>
  <c r="BL76" i="4"/>
  <c r="BL77" i="4" s="1"/>
  <c r="BM73" i="4" s="1"/>
  <c r="BL80" i="4"/>
  <c r="BL107" i="4" s="1"/>
  <c r="BL108" i="4" l="1"/>
  <c r="BL113" i="4" s="1"/>
  <c r="BL89" i="4"/>
  <c r="BL97" i="4"/>
  <c r="BL112" i="4" s="1"/>
  <c r="BM71" i="4"/>
  <c r="BL114" i="4" l="1"/>
  <c r="BL109" i="4"/>
  <c r="BM105" i="4" s="1"/>
  <c r="BM106" i="4" s="1"/>
  <c r="BL110" i="4"/>
  <c r="BM75" i="4"/>
  <c r="BL116" i="4"/>
  <c r="BL117" i="4" s="1"/>
  <c r="BL122" i="4" l="1"/>
  <c r="BL121" i="4"/>
  <c r="BM76" i="4"/>
  <c r="BM77" i="4" s="1"/>
  <c r="BN73" i="4" s="1"/>
  <c r="BM80" i="4" l="1"/>
  <c r="BN71" i="4"/>
  <c r="BM97" i="4" l="1"/>
  <c r="BM112" i="4" s="1"/>
  <c r="BM107" i="4"/>
  <c r="BM108" i="4"/>
  <c r="BN75" i="4"/>
  <c r="K58" i="6"/>
  <c r="K65" i="6" s="1"/>
  <c r="BM89" i="4"/>
  <c r="K62" i="6"/>
  <c r="BM109" i="4" l="1"/>
  <c r="BN105" i="4" s="1"/>
  <c r="BM113" i="4"/>
  <c r="BM114" i="4" s="1"/>
  <c r="BM110" i="4"/>
  <c r="K63" i="6"/>
  <c r="K67" i="6" s="1"/>
  <c r="BN76" i="4"/>
  <c r="BN77" i="4" s="1"/>
  <c r="BO73" i="4" s="1"/>
  <c r="BN106" i="4" l="1"/>
  <c r="BM116" i="4"/>
  <c r="BM117" i="4" s="1"/>
  <c r="K83" i="6"/>
  <c r="K93" i="6" s="1"/>
  <c r="K64" i="6"/>
  <c r="BN80" i="4"/>
  <c r="BN107" i="4" s="1"/>
  <c r="BO71" i="4"/>
  <c r="BM122" i="4" l="1"/>
  <c r="BM121" i="4"/>
  <c r="BN108" i="4"/>
  <c r="BN113" i="4" s="1"/>
  <c r="K97" i="6"/>
  <c r="K92" i="6"/>
  <c r="K98" i="6"/>
  <c r="L60" i="6"/>
  <c r="BN89" i="4"/>
  <c r="BN97" i="4"/>
  <c r="BN112" i="4" s="1"/>
  <c r="BO75" i="4"/>
  <c r="BN114" i="4" l="1"/>
  <c r="BN110" i="4"/>
  <c r="BN109" i="4"/>
  <c r="BO105" i="4" s="1"/>
  <c r="K95" i="6"/>
  <c r="K94" i="6"/>
  <c r="L90" i="6" s="1"/>
  <c r="K99" i="6"/>
  <c r="BN116" i="4"/>
  <c r="BN117" i="4" s="1"/>
  <c r="BO76" i="4"/>
  <c r="BO80" i="4" s="1"/>
  <c r="BO107" i="4" l="1"/>
  <c r="BN122" i="4"/>
  <c r="BN121" i="4"/>
  <c r="BO106" i="4"/>
  <c r="BO108" i="4" s="1"/>
  <c r="L91" i="6"/>
  <c r="K101" i="6"/>
  <c r="K102" i="6" s="1"/>
  <c r="BO89" i="4"/>
  <c r="BO97" i="4"/>
  <c r="BO112" i="4" s="1"/>
  <c r="BO77" i="4"/>
  <c r="BP73" i="4" s="1"/>
  <c r="BO113" i="4" l="1"/>
  <c r="BO114" i="4" s="1"/>
  <c r="BO109" i="4"/>
  <c r="BP105" i="4" s="1"/>
  <c r="BO110" i="4"/>
  <c r="K107" i="6"/>
  <c r="K106" i="6"/>
  <c r="BO116" i="4"/>
  <c r="BO117" i="4" s="1"/>
  <c r="BP71" i="4"/>
  <c r="BO122" i="4" l="1"/>
  <c r="BO121" i="4"/>
  <c r="BP106" i="4"/>
  <c r="BP75" i="4"/>
  <c r="BP76" i="4" l="1"/>
  <c r="BP80" i="4" s="1"/>
  <c r="BP107" i="4" l="1"/>
  <c r="BP108" i="4"/>
  <c r="BP113" i="4" s="1"/>
  <c r="BP89" i="4"/>
  <c r="BP97" i="4"/>
  <c r="BP112" i="4" s="1"/>
  <c r="BP77" i="4"/>
  <c r="BQ73" i="4" s="1"/>
  <c r="BP114" i="4" l="1"/>
  <c r="BP110" i="4"/>
  <c r="BP109" i="4"/>
  <c r="BQ105" i="4" s="1"/>
  <c r="BP116" i="4"/>
  <c r="BP117" i="4" s="1"/>
  <c r="BQ71" i="4"/>
  <c r="BP122" i="4" l="1"/>
  <c r="BP121" i="4"/>
  <c r="BQ106" i="4"/>
  <c r="BQ75" i="4"/>
  <c r="BQ76" i="4" l="1"/>
  <c r="BQ77" i="4" s="1"/>
  <c r="BR73" i="4" s="1"/>
  <c r="BQ80" i="4" l="1"/>
  <c r="BR71" i="4"/>
  <c r="BQ107" i="4" l="1"/>
  <c r="BQ108" i="4"/>
  <c r="BQ113" i="4" s="1"/>
  <c r="BQ89" i="4"/>
  <c r="BQ97" i="4"/>
  <c r="BQ112" i="4" s="1"/>
  <c r="BR75" i="4"/>
  <c r="BQ114" i="4" l="1"/>
  <c r="BQ110" i="4"/>
  <c r="BQ109" i="4"/>
  <c r="BR105" i="4" s="1"/>
  <c r="BR76" i="4"/>
  <c r="BR77" i="4" s="1"/>
  <c r="BS73" i="4" s="1"/>
  <c r="BR106" i="4" l="1"/>
  <c r="BQ116" i="4"/>
  <c r="BQ117" i="4" s="1"/>
  <c r="BR80" i="4"/>
  <c r="BR107" i="4" s="1"/>
  <c r="BS71" i="4"/>
  <c r="BQ122" i="4" l="1"/>
  <c r="BQ121" i="4"/>
  <c r="BR108" i="4"/>
  <c r="BR113" i="4" s="1"/>
  <c r="BR114" i="4" s="1"/>
  <c r="BR89" i="4"/>
  <c r="BR97" i="4"/>
  <c r="BR112" i="4" s="1"/>
  <c r="BS75" i="4"/>
  <c r="BR109" i="4" l="1"/>
  <c r="BS105" i="4" s="1"/>
  <c r="BR110" i="4"/>
  <c r="BS76" i="4"/>
  <c r="BS80" i="4" s="1"/>
  <c r="BS107" i="4" s="1"/>
  <c r="BS106" i="4" l="1"/>
  <c r="BS108" i="4" s="1"/>
  <c r="BS113" i="4" s="1"/>
  <c r="BS109" i="4"/>
  <c r="BT105" i="4" s="1"/>
  <c r="BR116" i="4"/>
  <c r="BR117" i="4" s="1"/>
  <c r="BS89" i="4"/>
  <c r="BS97" i="4"/>
  <c r="BS112" i="4" s="1"/>
  <c r="BS77" i="4"/>
  <c r="BT73" i="4" s="1"/>
  <c r="BT106" i="4" l="1"/>
  <c r="BR122" i="4"/>
  <c r="BR121" i="4"/>
  <c r="BS114" i="4"/>
  <c r="BS110" i="4"/>
  <c r="BS116" i="4"/>
  <c r="BS117" i="4" s="1"/>
  <c r="BT71" i="4"/>
  <c r="BS122" i="4" l="1"/>
  <c r="BS121" i="4"/>
  <c r="BT75" i="4"/>
  <c r="BT76" i="4" l="1"/>
  <c r="BT77" i="4" s="1"/>
  <c r="BU73" i="4" s="1"/>
  <c r="BT80" i="4" l="1"/>
  <c r="BU71" i="4"/>
  <c r="BT97" i="4" l="1"/>
  <c r="BT112" i="4" s="1"/>
  <c r="BT107" i="4"/>
  <c r="BT108" i="4"/>
  <c r="BT113" i="4" s="1"/>
  <c r="BT114" i="4" s="1"/>
  <c r="BU75" i="4"/>
  <c r="BT89" i="4"/>
  <c r="BT110" i="4" l="1"/>
  <c r="BT109" i="4"/>
  <c r="BU105" i="4" s="1"/>
  <c r="BT116" i="4"/>
  <c r="BT117" i="4" s="1"/>
  <c r="BU76" i="4"/>
  <c r="BU80" i="4" s="1"/>
  <c r="BU107" i="4" s="1"/>
  <c r="BT121" i="4" l="1"/>
  <c r="BT122" i="4"/>
  <c r="BU106" i="4"/>
  <c r="BU108" i="4" s="1"/>
  <c r="BU113" i="4" s="1"/>
  <c r="BU89" i="4"/>
  <c r="BU97" i="4"/>
  <c r="BU112" i="4" s="1"/>
  <c r="BU77" i="4"/>
  <c r="BV73" i="4" s="1"/>
  <c r="BU109" i="4" l="1"/>
  <c r="BV105" i="4" s="1"/>
  <c r="BU114" i="4"/>
  <c r="BU110" i="4"/>
  <c r="BU116" i="4"/>
  <c r="BU117" i="4" s="1"/>
  <c r="BV71" i="4"/>
  <c r="BU121" i="4" l="1"/>
  <c r="BU122" i="4"/>
  <c r="BV106" i="4"/>
  <c r="BV75" i="4"/>
  <c r="BV76" i="4" l="1"/>
  <c r="BV80" i="4" s="1"/>
  <c r="BV107" i="4" s="1"/>
  <c r="BV108" i="4" l="1"/>
  <c r="BV113" i="4" s="1"/>
  <c r="BV89" i="4"/>
  <c r="BV97" i="4"/>
  <c r="BV112" i="4" s="1"/>
  <c r="BV77" i="4"/>
  <c r="BW73" i="4" s="1"/>
  <c r="BV114" i="4" l="1"/>
  <c r="BV109" i="4"/>
  <c r="BW105" i="4" s="1"/>
  <c r="BV110" i="4"/>
  <c r="BV116" i="4"/>
  <c r="BV117" i="4" s="1"/>
  <c r="BW71" i="4"/>
  <c r="BV121" i="4" l="1"/>
  <c r="BV122" i="4"/>
  <c r="BW106" i="4"/>
  <c r="BW75" i="4"/>
  <c r="BW76" i="4" l="1"/>
  <c r="BW80" i="4" s="1"/>
  <c r="BW107" i="4" s="1"/>
  <c r="BW108" i="4" l="1"/>
  <c r="BW113" i="4" s="1"/>
  <c r="BW89" i="4"/>
  <c r="BW97" i="4"/>
  <c r="BW112" i="4" s="1"/>
  <c r="BW77" i="4"/>
  <c r="BX73" i="4" s="1"/>
  <c r="BW114" i="4" l="1"/>
  <c r="BW109" i="4"/>
  <c r="BX105" i="4" s="1"/>
  <c r="BW110" i="4"/>
  <c r="BW116" i="4"/>
  <c r="BW117" i="4" s="1"/>
  <c r="BX71" i="4"/>
  <c r="BW121" i="4" l="1"/>
  <c r="BW122" i="4"/>
  <c r="BX106" i="4"/>
  <c r="BX75" i="4"/>
  <c r="BX76" i="4" l="1"/>
  <c r="BX80" i="4" s="1"/>
  <c r="BX97" i="4" l="1"/>
  <c r="BX112" i="4" s="1"/>
  <c r="BX107" i="4"/>
  <c r="BX108" i="4"/>
  <c r="BX113" i="4" s="1"/>
  <c r="BX114" i="4" s="1"/>
  <c r="BX89" i="4"/>
  <c r="BX77" i="4"/>
  <c r="BY73" i="4" s="1"/>
  <c r="BX110" i="4" l="1"/>
  <c r="BX109" i="4"/>
  <c r="BY105" i="4" s="1"/>
  <c r="BX116" i="4"/>
  <c r="BX117" i="4" s="1"/>
  <c r="BY71" i="4"/>
  <c r="BY106" i="4" l="1"/>
  <c r="BX121" i="4"/>
  <c r="BX122" i="4"/>
  <c r="BY75" i="4"/>
  <c r="BY76" i="4" l="1"/>
  <c r="BY77" i="4" s="1"/>
  <c r="BZ73" i="4" s="1"/>
  <c r="BY80" i="4" l="1"/>
  <c r="BZ71" i="4"/>
  <c r="BY107" i="4" l="1"/>
  <c r="BY108" i="4"/>
  <c r="BY113" i="4" s="1"/>
  <c r="BY97" i="4"/>
  <c r="BY112" i="4" s="1"/>
  <c r="BZ75" i="4"/>
  <c r="L58" i="6"/>
  <c r="L65" i="6" s="1"/>
  <c r="BY89" i="4"/>
  <c r="L62" i="6"/>
  <c r="BY114" i="4" l="1"/>
  <c r="BY110" i="4"/>
  <c r="BY109" i="4"/>
  <c r="BZ105" i="4" s="1"/>
  <c r="L63" i="6"/>
  <c r="L64" i="6" s="1"/>
  <c r="BZ76" i="4"/>
  <c r="BZ77" i="4" s="1"/>
  <c r="CA73" i="4" s="1"/>
  <c r="BZ106" i="4" l="1"/>
  <c r="BY116" i="4"/>
  <c r="BY117" i="4" s="1"/>
  <c r="M60" i="6"/>
  <c r="L67" i="6"/>
  <c r="BZ80" i="4"/>
  <c r="BZ107" i="4" s="1"/>
  <c r="CA71" i="4"/>
  <c r="BY121" i="4" l="1"/>
  <c r="BY122" i="4"/>
  <c r="BZ108" i="4"/>
  <c r="BZ113" i="4" s="1"/>
  <c r="L83" i="6"/>
  <c r="L93" i="6" s="1"/>
  <c r="BZ97" i="4"/>
  <c r="BZ112" i="4" s="1"/>
  <c r="CA75" i="4"/>
  <c r="BZ89" i="4"/>
  <c r="BZ114" i="4" l="1"/>
  <c r="BZ110" i="4"/>
  <c r="BZ109" i="4"/>
  <c r="CA105" i="4" s="1"/>
  <c r="L92" i="6"/>
  <c r="L97" i="6"/>
  <c r="BZ116" i="4"/>
  <c r="BZ117" i="4" s="1"/>
  <c r="CA76" i="4"/>
  <c r="CA77" i="4" s="1"/>
  <c r="CB73" i="4" s="1"/>
  <c r="BZ121" i="4" l="1"/>
  <c r="BZ122" i="4"/>
  <c r="CA106" i="4"/>
  <c r="L98" i="6"/>
  <c r="L95" i="6"/>
  <c r="L94" i="6"/>
  <c r="M90" i="6" s="1"/>
  <c r="CA80" i="4"/>
  <c r="CB71" i="4"/>
  <c r="CA97" i="4" l="1"/>
  <c r="CA112" i="4" s="1"/>
  <c r="CA107" i="4"/>
  <c r="CA108" i="4"/>
  <c r="CA113" i="4" s="1"/>
  <c r="CA114" i="4" s="1"/>
  <c r="L101" i="6"/>
  <c r="L102" i="6" s="1"/>
  <c r="L99" i="6"/>
  <c r="M91" i="6"/>
  <c r="CB75" i="4"/>
  <c r="CA89" i="4"/>
  <c r="CA110" i="4" l="1"/>
  <c r="CA109" i="4"/>
  <c r="CB105" i="4" s="1"/>
  <c r="CA116" i="4"/>
  <c r="CA117" i="4" s="1"/>
  <c r="L107" i="6"/>
  <c r="L106" i="6"/>
  <c r="CB76" i="4"/>
  <c r="CB77" i="4" s="1"/>
  <c r="CC73" i="4" s="1"/>
  <c r="CA121" i="4" l="1"/>
  <c r="CA122" i="4"/>
  <c r="CB106" i="4"/>
  <c r="CB80" i="4"/>
  <c r="CC71" i="4"/>
  <c r="CB97" i="4" l="1"/>
  <c r="CB112" i="4" s="1"/>
  <c r="CB107" i="4"/>
  <c r="CB108" i="4"/>
  <c r="CB113" i="4" s="1"/>
  <c r="CB114" i="4" s="1"/>
  <c r="CC75" i="4"/>
  <c r="CB89" i="4"/>
  <c r="CB110" i="4" l="1"/>
  <c r="CB109" i="4"/>
  <c r="CC105" i="4" s="1"/>
  <c r="CB116" i="4"/>
  <c r="CB117" i="4" s="1"/>
  <c r="CC76" i="4"/>
  <c r="CC80" i="4" s="1"/>
  <c r="CC97" i="4" l="1"/>
  <c r="CC112" i="4" s="1"/>
  <c r="CC107" i="4"/>
  <c r="CB121" i="4"/>
  <c r="CB122" i="4"/>
  <c r="CC106" i="4"/>
  <c r="CC108" i="4" s="1"/>
  <c r="CC113" i="4" s="1"/>
  <c r="CC114" i="4" s="1"/>
  <c r="CC109" i="4"/>
  <c r="CD105" i="4" s="1"/>
  <c r="CC89" i="4"/>
  <c r="CC77" i="4"/>
  <c r="CD73" i="4" s="1"/>
  <c r="CD71" i="4" s="1"/>
  <c r="CD106" i="4" l="1"/>
  <c r="CC110" i="4"/>
  <c r="CD75" i="4"/>
  <c r="CC116" i="4"/>
  <c r="CC117" i="4" s="1"/>
  <c r="CC121" i="4" l="1"/>
  <c r="CC122" i="4"/>
  <c r="CD76" i="4"/>
  <c r="CD77" i="4" s="1"/>
  <c r="CE73" i="4" s="1"/>
  <c r="CD80" i="4" l="1"/>
  <c r="CE71" i="4"/>
  <c r="CD97" i="4" l="1"/>
  <c r="CD112" i="4" s="1"/>
  <c r="CD107" i="4"/>
  <c r="CD108" i="4"/>
  <c r="CD113" i="4" s="1"/>
  <c r="CD114" i="4" s="1"/>
  <c r="CE75" i="4"/>
  <c r="CD89" i="4"/>
  <c r="I28" i="4"/>
  <c r="CC28" i="4"/>
  <c r="AI28" i="4"/>
  <c r="J28" i="4"/>
  <c r="BF28" i="4"/>
  <c r="AJ28" i="4"/>
  <c r="CG28" i="4"/>
  <c r="AL28" i="4"/>
  <c r="BK28" i="4"/>
  <c r="AN28" i="4"/>
  <c r="Q28" i="4"/>
  <c r="CL28" i="4"/>
  <c r="AG28" i="4"/>
  <c r="K28" i="4"/>
  <c r="CD28" i="4"/>
  <c r="CF28" i="4"/>
  <c r="BH28" i="4"/>
  <c r="N28" i="4"/>
  <c r="BI28" i="4"/>
  <c r="M28" i="4"/>
  <c r="CH28" i="4"/>
  <c r="O28" i="4"/>
  <c r="P28" i="4"/>
  <c r="BL28" i="4"/>
  <c r="CI28" i="4"/>
  <c r="AO28" i="4"/>
  <c r="CK28" i="4"/>
  <c r="R28" i="4"/>
  <c r="BO28" i="4"/>
  <c r="AP28" i="4"/>
  <c r="AR28" i="4"/>
  <c r="BP28" i="4"/>
  <c r="U28" i="4"/>
  <c r="BQ28" i="4"/>
  <c r="AT28" i="4"/>
  <c r="AV28" i="4"/>
  <c r="BR28" i="4"/>
  <c r="W28" i="4"/>
  <c r="AU28" i="4"/>
  <c r="AW28" i="4"/>
  <c r="AX28" i="4"/>
  <c r="BV28" i="4"/>
  <c r="AA28" i="4"/>
  <c r="AZ28" i="4"/>
  <c r="BA28" i="4"/>
  <c r="BY28" i="4"/>
  <c r="D28" i="4"/>
  <c r="AD28" i="4"/>
  <c r="BB28" i="4"/>
  <c r="BZ28" i="4"/>
  <c r="CA28" i="4"/>
  <c r="BE28" i="4"/>
  <c r="BG28" i="4"/>
  <c r="AH28" i="4"/>
  <c r="L28" i="4"/>
  <c r="CE28" i="4"/>
  <c r="AK28" i="4"/>
  <c r="BJ28" i="4"/>
  <c r="AM28" i="4"/>
  <c r="CJ28" i="4"/>
  <c r="BM28" i="4"/>
  <c r="AQ28" i="4"/>
  <c r="T28" i="4"/>
  <c r="BN28" i="4"/>
  <c r="S28" i="4"/>
  <c r="AS28" i="4"/>
  <c r="V28" i="4"/>
  <c r="BS28" i="4"/>
  <c r="X28" i="4"/>
  <c r="BT28" i="4"/>
  <c r="Y28" i="4"/>
  <c r="BU28" i="4"/>
  <c r="Z28" i="4"/>
  <c r="AY28" i="4"/>
  <c r="BX28" i="4"/>
  <c r="AB28" i="4"/>
  <c r="BW28" i="4"/>
  <c r="AC28" i="4"/>
  <c r="G28" i="4"/>
  <c r="AE28" i="4"/>
  <c r="BC28" i="4"/>
  <c r="H28" i="4"/>
  <c r="AF28" i="4"/>
  <c r="BD28" i="4"/>
  <c r="CB28" i="4"/>
  <c r="CD110" i="4" l="1"/>
  <c r="CD109" i="4"/>
  <c r="CE105" i="4" s="1"/>
  <c r="CD116" i="4"/>
  <c r="CD117" i="4" s="1"/>
  <c r="CE76" i="4"/>
  <c r="CE80" i="4" s="1"/>
  <c r="CE97" i="4" l="1"/>
  <c r="CE112" i="4" s="1"/>
  <c r="CE107" i="4"/>
  <c r="CD121" i="4"/>
  <c r="CD122" i="4"/>
  <c r="CE106" i="4"/>
  <c r="CE108" i="4" s="1"/>
  <c r="CE113" i="4" s="1"/>
  <c r="CE114" i="4" s="1"/>
  <c r="CE89" i="4"/>
  <c r="CE77" i="4"/>
  <c r="CF73" i="4" s="1"/>
  <c r="CE109" i="4" l="1"/>
  <c r="CF105" i="4" s="1"/>
  <c r="CE110" i="4"/>
  <c r="CE116" i="4"/>
  <c r="CE117" i="4" s="1"/>
  <c r="CF71" i="4"/>
  <c r="CE121" i="4" l="1"/>
  <c r="CE122" i="4"/>
  <c r="CF106" i="4"/>
  <c r="CF75" i="4"/>
  <c r="CF76" i="4" l="1"/>
  <c r="CF80" i="4" s="1"/>
  <c r="CF77" i="4" l="1"/>
  <c r="CG73" i="4" s="1"/>
  <c r="CF97" i="4"/>
  <c r="CF112" i="4" s="1"/>
  <c r="CF107" i="4"/>
  <c r="CF108" i="4"/>
  <c r="CF113" i="4" s="1"/>
  <c r="CF114" i="4" s="1"/>
  <c r="CF89" i="4"/>
  <c r="CG71" i="4"/>
  <c r="CF110" i="4" l="1"/>
  <c r="CF109" i="4"/>
  <c r="CG105" i="4" s="1"/>
  <c r="CG75" i="4"/>
  <c r="CF116" i="4"/>
  <c r="CF117" i="4" s="1"/>
  <c r="CF122" i="4" l="1"/>
  <c r="CF121" i="4"/>
  <c r="CG106" i="4"/>
  <c r="CG76" i="4"/>
  <c r="CG80" i="4" s="1"/>
  <c r="CG97" i="4" l="1"/>
  <c r="CG112" i="4" s="1"/>
  <c r="CG107" i="4"/>
  <c r="CG108" i="4"/>
  <c r="CG113" i="4" s="1"/>
  <c r="CG114" i="4" s="1"/>
  <c r="CG89" i="4"/>
  <c r="CG77" i="4"/>
  <c r="CH73" i="4" s="1"/>
  <c r="CG110" i="4" l="1"/>
  <c r="CG109" i="4"/>
  <c r="CH105" i="4" s="1"/>
  <c r="CG116" i="4"/>
  <c r="CG117" i="4" s="1"/>
  <c r="CH71" i="4"/>
  <c r="CG122" i="4" l="1"/>
  <c r="CG121" i="4"/>
  <c r="CH106" i="4"/>
  <c r="CH75" i="4"/>
  <c r="CH76" i="4" l="1"/>
  <c r="CH80" i="4" s="1"/>
  <c r="CH97" i="4" l="1"/>
  <c r="CH112" i="4" s="1"/>
  <c r="CH107" i="4"/>
  <c r="CH108" i="4"/>
  <c r="CH113" i="4" s="1"/>
  <c r="CH89" i="4"/>
  <c r="CH77" i="4"/>
  <c r="CI73" i="4" s="1"/>
  <c r="CH114" i="4" l="1"/>
  <c r="CH110" i="4"/>
  <c r="CH109" i="4"/>
  <c r="CI105" i="4" s="1"/>
  <c r="CH116" i="4"/>
  <c r="CH117" i="4" s="1"/>
  <c r="CI71" i="4"/>
  <c r="CH122" i="4" l="1"/>
  <c r="CH121" i="4"/>
  <c r="CI106" i="4"/>
  <c r="CI75" i="4"/>
  <c r="CI76" i="4" s="1"/>
  <c r="CI80" i="4" s="1"/>
  <c r="CI97" i="4" l="1"/>
  <c r="CI112" i="4" s="1"/>
  <c r="CI107" i="4"/>
  <c r="CI110" i="4" s="1"/>
  <c r="CI108" i="4"/>
  <c r="CI113" i="4" s="1"/>
  <c r="CI114" i="4" s="1"/>
  <c r="CI89" i="4"/>
  <c r="CI77" i="4"/>
  <c r="CJ73" i="4" s="1"/>
  <c r="CI109" i="4" l="1"/>
  <c r="CJ105" i="4" s="1"/>
  <c r="CJ106" i="4" s="1"/>
  <c r="CI116" i="4"/>
  <c r="CI117" i="4" s="1"/>
  <c r="CJ71" i="4"/>
  <c r="CI122" i="4" l="1"/>
  <c r="CI121" i="4"/>
  <c r="CJ75" i="4"/>
  <c r="CJ76" i="4" l="1"/>
  <c r="CJ77" i="4" s="1"/>
  <c r="CK73" i="4" s="1"/>
  <c r="CJ80" i="4" l="1"/>
  <c r="CK71" i="4"/>
  <c r="CJ97" i="4" l="1"/>
  <c r="CJ112" i="4" s="1"/>
  <c r="CJ107" i="4"/>
  <c r="CJ110" i="4" s="1"/>
  <c r="CJ108" i="4"/>
  <c r="CK75" i="4"/>
  <c r="CJ89" i="4"/>
  <c r="CJ109" i="4" l="1"/>
  <c r="CJ113" i="4"/>
  <c r="CJ114" i="4" s="1"/>
  <c r="CK105" i="4"/>
  <c r="CK106" i="4" s="1"/>
  <c r="CK76" i="4"/>
  <c r="CK77" i="4" s="1"/>
  <c r="CL73" i="4" s="1"/>
  <c r="CK80" i="4"/>
  <c r="CK97" i="4" l="1"/>
  <c r="CK112" i="4" s="1"/>
  <c r="CK107" i="4"/>
  <c r="CJ116" i="4"/>
  <c r="CJ117" i="4" s="1"/>
  <c r="CK89" i="4"/>
  <c r="CK108" i="4"/>
  <c r="CK113" i="4" s="1"/>
  <c r="CK114" i="4" s="1"/>
  <c r="CL71" i="4"/>
  <c r="CJ122" i="4" l="1"/>
  <c r="CJ121" i="4"/>
  <c r="CL75" i="4"/>
  <c r="M58" i="6"/>
  <c r="M65" i="6" s="1"/>
  <c r="CK110" i="4"/>
  <c r="CK116" i="4"/>
  <c r="CK117" i="4" s="1"/>
  <c r="CK109" i="4"/>
  <c r="CL105" i="4" s="1"/>
  <c r="CL106" i="4" s="1"/>
  <c r="M62" i="6"/>
  <c r="CK122" i="4" l="1"/>
  <c r="CK121" i="4"/>
  <c r="M63" i="6"/>
  <c r="M64" i="6" s="1"/>
  <c r="CL76" i="4"/>
  <c r="CL77" i="4" s="1"/>
  <c r="CL80" i="4" l="1"/>
  <c r="CL107" i="4" s="1"/>
  <c r="M67" i="6"/>
  <c r="CL108" i="4"/>
  <c r="CL113" i="4" s="1"/>
  <c r="D84" i="4"/>
  <c r="M83" i="6" l="1"/>
  <c r="M93" i="6" s="1"/>
  <c r="D87" i="6"/>
  <c r="CL89" i="4"/>
  <c r="CL97" i="4"/>
  <c r="CL112" i="4" s="1"/>
  <c r="CL114" i="4" s="1"/>
  <c r="D82" i="4"/>
  <c r="D83" i="4"/>
  <c r="D70" i="6"/>
  <c r="CL116" i="4"/>
  <c r="CL117" i="4" s="1"/>
  <c r="CL110" i="4"/>
  <c r="D110" i="4" s="1"/>
  <c r="CL109" i="4"/>
  <c r="CL122" i="4" l="1"/>
  <c r="CL121" i="4"/>
  <c r="M97" i="6"/>
  <c r="M92" i="6"/>
  <c r="M98" i="6"/>
  <c r="D85" i="6"/>
  <c r="D86" i="6"/>
  <c r="D101" i="4"/>
  <c r="D99" i="4"/>
  <c r="D100" i="4"/>
  <c r="D69" i="6"/>
  <c r="D71" i="6"/>
  <c r="D114" i="4"/>
  <c r="M101" i="6" l="1"/>
  <c r="M102" i="6" s="1"/>
  <c r="M106" i="6" s="1"/>
  <c r="M99" i="6"/>
  <c r="D99" i="6" s="1"/>
  <c r="M95" i="6"/>
  <c r="M94" i="6"/>
  <c r="D95" i="6"/>
  <c r="M107" i="6" l="1"/>
</calcChain>
</file>

<file path=xl/sharedStrings.xml><?xml version="1.0" encoding="utf-8"?>
<sst xmlns="http://schemas.openxmlformats.org/spreadsheetml/2006/main" count="283" uniqueCount="167">
  <si>
    <t xml:space="preserve">Unlevered / Levered / Net Levered IRR   </t>
  </si>
  <si>
    <t xml:space="preserve">Profit and Equity Multiple to Investors  </t>
  </si>
  <si>
    <t xml:space="preserve">Is this a stable asset? Why or why not? Is this a Value Add, Core Plus, or Core investment profile? Why? Levered DSCR </t>
  </si>
  <si>
    <t>What are some things you would look to do at this property immediately after closing?</t>
  </si>
  <si>
    <t>What additional information would you need to perform a more complete analysis?</t>
  </si>
  <si>
    <r>
      <rPr>
        <b/>
        <sz val="7.5"/>
        <color rgb="FFFFFFFF"/>
        <rFont val="Arial"/>
        <family val="2"/>
      </rPr>
      <t>DLP CASE STUDY</t>
    </r>
  </si>
  <si>
    <r>
      <rPr>
        <b/>
        <sz val="7.5"/>
        <color rgb="FFFFFFFF"/>
        <rFont val="Arial"/>
        <family val="2"/>
      </rPr>
      <t>Outputs / Metrics to Calculate</t>
    </r>
  </si>
  <si>
    <r>
      <rPr>
        <b/>
        <sz val="7.5"/>
        <color rgb="FFFFFFFF"/>
        <rFont val="Arial"/>
        <family val="2"/>
      </rPr>
      <t>Outputs / Written</t>
    </r>
  </si>
  <si>
    <r>
      <rPr>
        <b/>
        <sz val="7.5"/>
        <color rgb="FFFFFFFF"/>
        <rFont val="Arial"/>
        <family val="2"/>
      </rPr>
      <t>MODELING EXAMINATION ASSUMPTIONS</t>
    </r>
  </si>
  <si>
    <r>
      <rPr>
        <b/>
        <sz val="7.5"/>
        <color rgb="FFFFFFFF"/>
        <rFont val="Arial"/>
        <family val="2"/>
      </rPr>
      <t>Deal Summary</t>
    </r>
  </si>
  <si>
    <r>
      <rPr>
        <b/>
        <sz val="7.5"/>
        <color rgb="FFFFFFFF"/>
        <rFont val="Arial"/>
        <family val="2"/>
      </rPr>
      <t>Financing Assumptions</t>
    </r>
  </si>
  <si>
    <r>
      <rPr>
        <b/>
        <sz val="7.5"/>
        <color rgb="FFFFFFFF"/>
        <rFont val="Arial"/>
        <family val="2"/>
      </rPr>
      <t>2024 Income Statement</t>
    </r>
  </si>
  <si>
    <t>Deal Name</t>
  </si>
  <si>
    <t>DREAM Apartments</t>
  </si>
  <si>
    <t>Leverage (Loan to Value %)</t>
  </si>
  <si>
    <t>Gross Potential Rent (GPR)</t>
  </si>
  <si>
    <t>Location</t>
  </si>
  <si>
    <t>St. Augustine, FL</t>
  </si>
  <si>
    <t>Fixed Rate</t>
  </si>
  <si>
    <t>Loss to Lease</t>
  </si>
  <si>
    <t>Class</t>
  </si>
  <si>
    <t>A</t>
  </si>
  <si>
    <t>Interest Only (Yrs)</t>
  </si>
  <si>
    <t>Other Income</t>
  </si>
  <si>
    <t>Address</t>
  </si>
  <si>
    <t>1000 West Place</t>
  </si>
  <si>
    <t>Amortization (Yrs)</t>
  </si>
  <si>
    <t>TOTAL GROSS REVENUE</t>
  </si>
  <si>
    <t>Year Built</t>
  </si>
  <si>
    <t>Financing Fees</t>
  </si>
  <si>
    <t>Vacancy</t>
  </si>
  <si>
    <t>Current Occupancy</t>
  </si>
  <si>
    <t>Term (Yrs)</t>
  </si>
  <si>
    <t>Concessions</t>
  </si>
  <si>
    <t>Units</t>
  </si>
  <si>
    <t>Bad Debt / Non. Rev Units</t>
  </si>
  <si>
    <t>Current Rent</t>
  </si>
  <si>
    <t>EFFECTIVE GROSS REVENUE</t>
  </si>
  <si>
    <t>Real Estate Taxes</t>
  </si>
  <si>
    <r>
      <rPr>
        <b/>
        <sz val="7.5"/>
        <color rgb="FFFFFFFF"/>
        <rFont val="Arial"/>
        <family val="2"/>
      </rPr>
      <t>Acquisition / Exit Assumptions</t>
    </r>
  </si>
  <si>
    <r>
      <rPr>
        <b/>
        <sz val="7.5"/>
        <color rgb="FFFFFFFF"/>
        <rFont val="Arial"/>
        <family val="2"/>
      </rPr>
      <t>Waterfall Assumptions</t>
    </r>
  </si>
  <si>
    <t>Insurance</t>
  </si>
  <si>
    <t>Closing Date</t>
  </si>
  <si>
    <t>Asset Management Fee (% of Equity)</t>
  </si>
  <si>
    <t>Management Fee</t>
  </si>
  <si>
    <t>Acquisition Price</t>
  </si>
  <si>
    <t>Investor Threshold return before Promote</t>
  </si>
  <si>
    <t>Controllable Operating Expenses</t>
  </si>
  <si>
    <t>Acquisition Costs</t>
  </si>
  <si>
    <t>Promote</t>
  </si>
  <si>
    <t>TOTAL OPEX</t>
  </si>
  <si>
    <t>Sales Costs</t>
  </si>
  <si>
    <t>Capex Reserve</t>
  </si>
  <si>
    <t>Hold Period (Yrs)</t>
  </si>
  <si>
    <r>
      <rPr>
        <b/>
        <sz val="7.5"/>
        <color rgb="FFFFFFFF"/>
        <rFont val="Arial"/>
        <family val="2"/>
      </rPr>
      <t>Preferred Equity</t>
    </r>
  </si>
  <si>
    <t>NET OPERATING INCOME</t>
  </si>
  <si>
    <t>Exit Cap Rate</t>
  </si>
  <si>
    <t>Amount</t>
  </si>
  <si>
    <t>Capital Improvements</t>
  </si>
  <si>
    <t>Rate</t>
  </si>
  <si>
    <r>
      <rPr>
        <b/>
        <sz val="7.5"/>
        <color rgb="FFFFFFFF"/>
        <rFont val="Arial"/>
        <family val="2"/>
      </rPr>
      <t>Operating Assumptions</t>
    </r>
  </si>
  <si>
    <t>Rent Growth</t>
  </si>
  <si>
    <t>Loss-to-Lease</t>
  </si>
  <si>
    <t>Other Income Growth</t>
  </si>
  <si>
    <t>Bad Debt / Non-Revenue Units</t>
  </si>
  <si>
    <t>Real Estate Taxes Growth</t>
  </si>
  <si>
    <t>Insurance Growth</t>
  </si>
  <si>
    <r>
      <rPr>
        <sz val="7.5"/>
        <rFont val="Arial"/>
        <family val="2"/>
      </rPr>
      <t xml:space="preserve">Operating Expenses </t>
    </r>
    <r>
      <rPr>
        <i/>
        <sz val="7.5"/>
        <rFont val="Arial"/>
        <family val="2"/>
      </rPr>
      <t>Growth</t>
    </r>
  </si>
  <si>
    <r>
      <rPr>
        <sz val="7.5"/>
        <rFont val="Arial"/>
        <family val="2"/>
      </rPr>
      <t xml:space="preserve">Management Fee </t>
    </r>
    <r>
      <rPr>
        <i/>
        <sz val="7.5"/>
        <rFont val="Arial"/>
        <family val="2"/>
      </rPr>
      <t>(% of total revenue)</t>
    </r>
  </si>
  <si>
    <r>
      <rPr>
        <sz val="7.5"/>
        <rFont val="Arial"/>
        <family val="2"/>
      </rPr>
      <t xml:space="preserve">Capital Reserve / Unit  / Growth </t>
    </r>
    <r>
      <rPr>
        <i/>
        <sz val="7.5"/>
        <rFont val="Arial"/>
        <family val="2"/>
      </rPr>
      <t>(Years 2+)</t>
    </r>
  </si>
  <si>
    <t>Capital Projects</t>
  </si>
  <si>
    <t>DLP Capital needs to make a decision about purchasing a 300 unit mixed use apartment community in St. Augustine, FL.</t>
  </si>
  <si>
    <t>Create a monthly discounted cash flow (DCF) model with annual summaries for the property and show each of the metrics listed below. Create this spreadsheet from scratch (do not use a pre-existing template) and do not consult with any individuals outside DLP.</t>
  </si>
  <si>
    <t>Create your written outputs without using ChatGPT or other AI.</t>
  </si>
  <si>
    <t>Your model needs to be dynamic, so if ANY of the assumptions are changed, the cash flows will be updated accordingly</t>
  </si>
  <si>
    <t>Commercial Rent</t>
  </si>
  <si>
    <t>Commercial Vacancy</t>
  </si>
  <si>
    <t>CAM</t>
  </si>
  <si>
    <t>Commercial SqFt</t>
  </si>
  <si>
    <t>Residential Vacancy</t>
  </si>
  <si>
    <t>Commercial Rent Growth</t>
  </si>
  <si>
    <t>Cash on Cash and Return on Cost Returns</t>
  </si>
  <si>
    <t>Should DLP move forward with this deal? Why? Is this a "Good Deal?"</t>
  </si>
  <si>
    <t>COMBINED NET CASH FLOW</t>
  </si>
  <si>
    <t>Sensitivity tables for value based on cap rate and rent growth</t>
  </si>
  <si>
    <t>Loan Amount</t>
  </si>
  <si>
    <t>Acquisition Date</t>
  </si>
  <si>
    <t>Exit Date</t>
  </si>
  <si>
    <t>INCOME</t>
  </si>
  <si>
    <t>OPERATING EXPENSES</t>
  </si>
  <si>
    <t>Total Operating Expenses</t>
  </si>
  <si>
    <t>Residential Rent Growth</t>
  </si>
  <si>
    <t xml:space="preserve">Residential Monthly Rent $/Unit </t>
  </si>
  <si>
    <t>Residential Vacancy Loss</t>
  </si>
  <si>
    <t>Commercial Vacancy Loss</t>
  </si>
  <si>
    <t>Commercial Effective Rent</t>
  </si>
  <si>
    <t>Residential Effective Rent / Month</t>
  </si>
  <si>
    <t>Commercial Effective Rent PSF / Month</t>
  </si>
  <si>
    <t>Commercial Monthly Rent $/PSF</t>
  </si>
  <si>
    <t>Residential Physical Occupancy</t>
  </si>
  <si>
    <t>Residential Economic Occupancy</t>
  </si>
  <si>
    <t>Commercial Physical Occupancy</t>
  </si>
  <si>
    <t>Commercial Economic Occupancy</t>
  </si>
  <si>
    <t>Bad Debt / Non. Rev Units (considered Residential &amp; Commercial)</t>
  </si>
  <si>
    <t>CAM (Yr)</t>
  </si>
  <si>
    <t>Other Income (Yr)</t>
  </si>
  <si>
    <t>Residential Gross Potential Rent (GPR)</t>
  </si>
  <si>
    <t>Management Fee (% of total revenue)</t>
  </si>
  <si>
    <t>DCF Model</t>
  </si>
  <si>
    <t>Forward 12 Month NOI</t>
  </si>
  <si>
    <t>Margin</t>
  </si>
  <si>
    <t>ACQUISITION &amp; SALE</t>
  </si>
  <si>
    <t>Purchase Price</t>
  </si>
  <si>
    <t>Acquisition Closing Costs</t>
  </si>
  <si>
    <t>Sales Proceeds</t>
  </si>
  <si>
    <t>Exit Closing Costs</t>
  </si>
  <si>
    <t>UNLEVERED CASH FLOW</t>
  </si>
  <si>
    <t>UNLEVERED IRR</t>
  </si>
  <si>
    <t>Profit</t>
  </si>
  <si>
    <t>FINANCING COST</t>
  </si>
  <si>
    <t>Interest Expenses</t>
  </si>
  <si>
    <t>Beginning Balance</t>
  </si>
  <si>
    <t xml:space="preserve">Loan Funding </t>
  </si>
  <si>
    <t>Amortization</t>
  </si>
  <si>
    <t>Loan Payoff</t>
  </si>
  <si>
    <t>Ending Balance</t>
  </si>
  <si>
    <t>LEVERED CASH FLOW</t>
  </si>
  <si>
    <t>LEVERED IRR</t>
  </si>
  <si>
    <t>Equity Mutiple</t>
  </si>
  <si>
    <t>Beginning Balance (LP Capital Account)</t>
  </si>
  <si>
    <t>Contributions from LP</t>
  </si>
  <si>
    <t>Distribution to LP (Hurdle 1)</t>
  </si>
  <si>
    <t>Ending Balance (LP Capital Account)</t>
  </si>
  <si>
    <t>Contribution from Sponsor</t>
  </si>
  <si>
    <t>Distribution to Sponsor</t>
  </si>
  <si>
    <t>Sponsor IRR Error Check</t>
  </si>
  <si>
    <t>LP IRR Error Check</t>
  </si>
  <si>
    <t>Total Gross Revenue</t>
  </si>
  <si>
    <t>Effective Gross Revenue</t>
  </si>
  <si>
    <t>LTV</t>
  </si>
  <si>
    <t>Payment</t>
  </si>
  <si>
    <t>Total Distribution</t>
  </si>
  <si>
    <t>Cash Flow Remaining</t>
  </si>
  <si>
    <t>HURDLE 1 - PREFERRED RETURN AND RETURN OF CAPITAL</t>
  </si>
  <si>
    <t>Total Purchase &amp; Sale</t>
  </si>
  <si>
    <t>Annual Summary</t>
  </si>
  <si>
    <t>NET LEVERED CASH FLOW</t>
  </si>
  <si>
    <t>Common Equity</t>
  </si>
  <si>
    <t>Preferred Equity</t>
  </si>
  <si>
    <t>Asset Management Fee</t>
  </si>
  <si>
    <t>Yield on Cost</t>
  </si>
  <si>
    <t>Unlevered Cash on Cash Yield</t>
  </si>
  <si>
    <t>Levered Cash on Cash Yield</t>
  </si>
  <si>
    <t>RETURN ON COST METRICS</t>
  </si>
  <si>
    <t>Step:</t>
  </si>
  <si>
    <t xml:space="preserve">Step: </t>
  </si>
  <si>
    <t>Rent Growth / Exit Cap Rate</t>
  </si>
  <si>
    <t>Base Rent Growth</t>
  </si>
  <si>
    <t>SOURCES</t>
  </si>
  <si>
    <t>SENSITIVITY TABLE</t>
  </si>
  <si>
    <t>LP Required Return to hit Hurdle 1</t>
  </si>
  <si>
    <t>NET LEVERED IRR</t>
  </si>
  <si>
    <t>Tier 2 - Promote</t>
  </si>
  <si>
    <t xml:space="preserve">Distribution to LP </t>
  </si>
  <si>
    <t xml:space="preserve">LP Required Return </t>
  </si>
  <si>
    <t xml:space="preserve"> PREFERRED RETURN AND RETURN OF CAPITAL</t>
  </si>
  <si>
    <t>DSCR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</si>
</sst>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"/>
    <numFmt numFmtId="165" formatCode="mm/dd/yy;@"/>
    <numFmt numFmtId="166" formatCode="\$0"/>
    <numFmt numFmtId="167" formatCode="&quot;$&quot;###0\ &quot;PSF&quot;"/>
    <numFmt numFmtId="168" formatCode="_(* #,##0_);_(* \(#,##0\);_(* &quot;-&quot;??_);_(@_)"/>
    <numFmt numFmtId="169" formatCode="&quot;$&quot;#,##0.00"/>
    <numFmt numFmtId="170" formatCode="&quot;$&quot;#,##0"/>
    <numFmt numFmtId="171" formatCode="0.0%"/>
    <numFmt numFmtId="172" formatCode="0\ &quot;Month&quot;"/>
    <numFmt numFmtId="173" formatCode="&quot;Year&quot;\ 0"/>
    <numFmt numFmtId="174" formatCode="_(&quot;$&quot;* #,##0_);_(&quot;$&quot;* \(#,##0\);_(&quot;$&quot;* &quot;-&quot;??_);_(@_)"/>
    <numFmt numFmtId="175" formatCode="&quot;$&quot;###0.00\ &quot;PSF&quot;"/>
    <numFmt numFmtId="176" formatCode="#,##0.00;[Red]\-#,##0.00;\-"/>
    <numFmt numFmtId="177" formatCode="0.00\x"/>
    <numFmt numFmtId="178" formatCode="#,##0;[Red]\-#,##0;\-"/>
    <numFmt numFmtId="179" formatCode="0.0000000"/>
    <numFmt numFmtId="180" formatCode="#0.0%_);\(#0.0%\)"/>
    <numFmt numFmtId="181" formatCode="_(* #,##0.0_);_(* \(#,##0.0\);_(* &quot;-&quot;?_);_(@_)"/>
  </numFmts>
  <fonts count="16" x14ac:knownFonts="1">
    <font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rgb="FF000000"/>
      <name val="Times New Roman"/>
      <family val="1"/>
    </font>
    <font>
      <b/>
      <sz val="7.5"/>
      <name val="Arial"/>
      <family val="2"/>
    </font>
    <font>
      <b/>
      <sz val="7.5"/>
      <color rgb="FFFFFFFF"/>
      <name val="Arial"/>
      <family val="2"/>
    </font>
    <font>
      <sz val="10"/>
      <color rgb="FF000000"/>
      <name val="Arial"/>
      <family val="2"/>
    </font>
    <font>
      <sz val="7.5"/>
      <name val="Arial"/>
      <family val="2"/>
    </font>
    <font>
      <sz val="7.5"/>
      <color rgb="FF0000FF"/>
      <name val="Arial"/>
      <family val="2"/>
    </font>
    <font>
      <sz val="7.5"/>
      <color rgb="FF000000"/>
      <name val="Arial"/>
      <family val="2"/>
    </font>
    <font>
      <i/>
      <sz val="7.5"/>
      <name val="Arial"/>
      <family val="2"/>
    </font>
    <font>
      <b/>
      <sz val="7.5"/>
      <color rgb="FF000000"/>
      <name val="Arial"/>
      <family val="2"/>
    </font>
    <font>
      <sz val="7.5"/>
      <color theme="1"/>
      <name val="Arial"/>
      <family val="2"/>
    </font>
    <font>
      <b/>
      <sz val="7.5"/>
      <color theme="1"/>
      <name val="Arial"/>
      <family val="2"/>
    </font>
    <font>
      <sz val="10"/>
      <name val="Palatino Linotype"/>
      <family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13E48"/>
      </patternFill>
    </fill>
    <fill>
      <patternFill patternType="solid">
        <fgColor rgb="FF0055B8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" fillId="0" borderId="0"/>
  </cellStyleXfs>
  <cellXfs count="208">
    <xf numFmtId="0" fontId="0" fillId="0" borderId="0" xfId="0"/>
    <xf numFmtId="0" fontId="6" fillId="0" borderId="0" xfId="3" applyFont="1" applyAlignment="1">
      <alignment horizontal="left" vertical="top"/>
    </xf>
    <xf numFmtId="0" fontId="7" fillId="0" borderId="0" xfId="3" applyFont="1" applyAlignment="1">
      <alignment horizontal="left" vertical="top"/>
    </xf>
    <xf numFmtId="0" fontId="4" fillId="0" borderId="0" xfId="3" applyFont="1" applyAlignment="1">
      <alignment horizontal="left" vertical="top"/>
    </xf>
    <xf numFmtId="10" fontId="8" fillId="0" borderId="0" xfId="3" applyNumberFormat="1" applyFont="1" applyAlignment="1">
      <alignment horizontal="right" vertical="top" shrinkToFit="1"/>
    </xf>
    <xf numFmtId="1" fontId="8" fillId="0" borderId="0" xfId="3" applyNumberFormat="1" applyFont="1" applyAlignment="1">
      <alignment horizontal="right" vertical="top" shrinkToFit="1"/>
    </xf>
    <xf numFmtId="164" fontId="8" fillId="0" borderId="0" xfId="3" applyNumberFormat="1" applyFont="1" applyAlignment="1">
      <alignment horizontal="right" vertical="top" shrinkToFit="1"/>
    </xf>
    <xf numFmtId="1" fontId="5" fillId="3" borderId="0" xfId="3" applyNumberFormat="1" applyFont="1" applyFill="1" applyAlignment="1">
      <alignment horizontal="center" vertical="top" shrinkToFit="1"/>
    </xf>
    <xf numFmtId="10" fontId="8" fillId="0" borderId="0" xfId="3" applyNumberFormat="1" applyFont="1" applyAlignment="1">
      <alignment horizontal="center" vertical="top" shrinkToFit="1"/>
    </xf>
    <xf numFmtId="166" fontId="8" fillId="0" borderId="1" xfId="3" applyNumberFormat="1" applyFont="1" applyBorder="1" applyAlignment="1">
      <alignment horizontal="center" vertical="top" shrinkToFit="1"/>
    </xf>
    <xf numFmtId="164" fontId="8" fillId="0" borderId="2" xfId="3" applyNumberFormat="1" applyFont="1" applyBorder="1" applyAlignment="1">
      <alignment horizontal="center" vertical="top" shrinkToFit="1"/>
    </xf>
    <xf numFmtId="166" fontId="8" fillId="0" borderId="2" xfId="3" applyNumberFormat="1" applyFont="1" applyBorder="1" applyAlignment="1">
      <alignment horizontal="center" vertical="top" shrinkToFit="1"/>
    </xf>
    <xf numFmtId="10" fontId="6" fillId="0" borderId="0" xfId="3" applyNumberFormat="1" applyFont="1" applyAlignment="1">
      <alignment horizontal="left" vertical="top"/>
    </xf>
    <xf numFmtId="164" fontId="9" fillId="0" borderId="0" xfId="3" applyNumberFormat="1" applyFont="1" applyAlignment="1">
      <alignment vertical="top" shrinkToFit="1"/>
    </xf>
    <xf numFmtId="0" fontId="6" fillId="0" borderId="0" xfId="3" applyFont="1" applyAlignment="1">
      <alignment horizontal="left"/>
    </xf>
    <xf numFmtId="0" fontId="4" fillId="3" borderId="0" xfId="3" applyFont="1" applyFill="1" applyAlignment="1">
      <alignment horizontal="left" vertical="top"/>
    </xf>
    <xf numFmtId="0" fontId="6" fillId="3" borderId="0" xfId="3" applyFont="1" applyFill="1" applyAlignment="1">
      <alignment horizontal="left"/>
    </xf>
    <xf numFmtId="0" fontId="6" fillId="0" borderId="0" xfId="3" applyFont="1" applyAlignment="1">
      <alignment horizontal="left" vertical="center"/>
    </xf>
    <xf numFmtId="0" fontId="11" fillId="0" borderId="0" xfId="3" applyFont="1" applyAlignment="1">
      <alignment horizontal="left" vertical="center"/>
    </xf>
    <xf numFmtId="169" fontId="6" fillId="0" borderId="0" xfId="3" applyNumberFormat="1" applyFont="1" applyAlignment="1">
      <alignment horizontal="left"/>
    </xf>
    <xf numFmtId="170" fontId="6" fillId="0" borderId="0" xfId="3" applyNumberFormat="1" applyFont="1" applyAlignment="1">
      <alignment horizontal="left"/>
    </xf>
    <xf numFmtId="164" fontId="8" fillId="4" borderId="0" xfId="3" applyNumberFormat="1" applyFont="1" applyFill="1" applyAlignment="1">
      <alignment horizontal="right" vertical="top" shrinkToFit="1"/>
    </xf>
    <xf numFmtId="0" fontId="12" fillId="0" borderId="0" xfId="0" applyFont="1" applyAlignment="1">
      <alignment vertical="center"/>
    </xf>
    <xf numFmtId="0" fontId="7" fillId="0" borderId="0" xfId="3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172" fontId="12" fillId="0" borderId="0" xfId="0" applyNumberFormat="1" applyFont="1" applyAlignment="1">
      <alignment vertical="center"/>
    </xf>
    <xf numFmtId="1" fontId="8" fillId="0" borderId="0" xfId="3" applyNumberFormat="1" applyFont="1" applyAlignment="1">
      <alignment horizontal="right" vertical="center" shrinkToFit="1"/>
    </xf>
    <xf numFmtId="165" fontId="12" fillId="0" borderId="0" xfId="0" applyNumberFormat="1" applyFont="1" applyAlignment="1">
      <alignment vertical="center"/>
    </xf>
    <xf numFmtId="14" fontId="12" fillId="0" borderId="0" xfId="0" applyNumberFormat="1" applyFont="1" applyAlignment="1">
      <alignment vertical="center"/>
    </xf>
    <xf numFmtId="164" fontId="9" fillId="0" borderId="0" xfId="3" applyNumberFormat="1" applyFont="1" applyAlignment="1">
      <alignment vertical="center" shrinkToFit="1"/>
    </xf>
    <xf numFmtId="174" fontId="12" fillId="0" borderId="0" xfId="5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175" fontId="9" fillId="0" borderId="0" xfId="3" applyNumberFormat="1" applyFont="1" applyAlignment="1">
      <alignment vertical="center" shrinkToFit="1"/>
    </xf>
    <xf numFmtId="0" fontId="4" fillId="0" borderId="0" xfId="3" applyFont="1" applyAlignment="1">
      <alignment vertical="center"/>
    </xf>
    <xf numFmtId="0" fontId="7" fillId="0" borderId="0" xfId="3" applyFont="1" applyAlignment="1">
      <alignment vertical="center"/>
    </xf>
    <xf numFmtId="0" fontId="13" fillId="0" borderId="0" xfId="0" applyFont="1" applyAlignment="1">
      <alignment vertical="center"/>
    </xf>
    <xf numFmtId="10" fontId="13" fillId="0" borderId="0" xfId="0" applyNumberFormat="1" applyFont="1" applyAlignment="1">
      <alignment vertical="center"/>
    </xf>
    <xf numFmtId="44" fontId="12" fillId="0" borderId="0" xfId="0" applyNumberFormat="1" applyFont="1" applyAlignment="1">
      <alignment vertical="center"/>
    </xf>
    <xf numFmtId="164" fontId="11" fillId="0" borderId="0" xfId="3" applyNumberFormat="1" applyFont="1" applyAlignment="1">
      <alignment vertical="center" shrinkToFit="1"/>
    </xf>
    <xf numFmtId="173" fontId="8" fillId="0" borderId="0" xfId="0" applyNumberFormat="1" applyFont="1" applyAlignment="1">
      <alignment vertical="center"/>
    </xf>
    <xf numFmtId="6" fontId="9" fillId="0" borderId="0" xfId="3" applyNumberFormat="1" applyFont="1" applyAlignment="1">
      <alignment vertical="center" shrinkToFit="1"/>
    </xf>
    <xf numFmtId="0" fontId="4" fillId="0" borderId="4" xfId="3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6" fontId="11" fillId="0" borderId="4" xfId="3" applyNumberFormat="1" applyFont="1" applyBorder="1" applyAlignment="1">
      <alignment vertical="center" shrinkToFit="1"/>
    </xf>
    <xf numFmtId="164" fontId="11" fillId="0" borderId="4" xfId="3" applyNumberFormat="1" applyFont="1" applyBorder="1" applyAlignment="1">
      <alignment vertical="center" shrinkToFit="1"/>
    </xf>
    <xf numFmtId="0" fontId="13" fillId="0" borderId="4" xfId="0" applyFont="1" applyBorder="1" applyAlignment="1">
      <alignment vertical="center"/>
    </xf>
    <xf numFmtId="10" fontId="13" fillId="0" borderId="4" xfId="0" applyNumberFormat="1" applyFont="1" applyBorder="1" applyAlignment="1">
      <alignment vertical="center"/>
    </xf>
    <xf numFmtId="6" fontId="11" fillId="0" borderId="0" xfId="3" applyNumberFormat="1" applyFont="1" applyAlignment="1">
      <alignment vertical="center" shrinkToFit="1"/>
    </xf>
    <xf numFmtId="0" fontId="7" fillId="0" borderId="11" xfId="3" applyFont="1" applyBorder="1" applyAlignment="1">
      <alignment horizontal="left" vertical="center"/>
    </xf>
    <xf numFmtId="0" fontId="12" fillId="0" borderId="12" xfId="0" applyFont="1" applyBorder="1" applyAlignment="1">
      <alignment vertical="center"/>
    </xf>
    <xf numFmtId="165" fontId="8" fillId="0" borderId="13" xfId="3" applyNumberFormat="1" applyFont="1" applyBorder="1" applyAlignment="1">
      <alignment vertical="center" shrinkToFit="1"/>
    </xf>
    <xf numFmtId="0" fontId="7" fillId="0" borderId="14" xfId="3" applyFont="1" applyBorder="1" applyAlignment="1">
      <alignment horizontal="left" vertical="center"/>
    </xf>
    <xf numFmtId="165" fontId="8" fillId="0" borderId="15" xfId="3" applyNumberFormat="1" applyFont="1" applyBorder="1" applyAlignment="1">
      <alignment vertical="center" shrinkToFit="1"/>
    </xf>
    <xf numFmtId="1" fontId="8" fillId="0" borderId="15" xfId="3" applyNumberFormat="1" applyFont="1" applyBorder="1" applyAlignment="1">
      <alignment horizontal="right" vertical="center" shrinkToFit="1"/>
    </xf>
    <xf numFmtId="0" fontId="7" fillId="0" borderId="16" xfId="3" applyFont="1" applyBorder="1" applyAlignment="1">
      <alignment horizontal="left" vertical="center"/>
    </xf>
    <xf numFmtId="0" fontId="12" fillId="0" borderId="17" xfId="0" applyFont="1" applyBorder="1" applyAlignment="1">
      <alignment horizontal="right" vertical="center"/>
    </xf>
    <xf numFmtId="167" fontId="8" fillId="0" borderId="18" xfId="3" applyNumberFormat="1" applyFont="1" applyBorder="1" applyAlignment="1">
      <alignment vertical="center" shrinkToFit="1"/>
    </xf>
    <xf numFmtId="6" fontId="12" fillId="0" borderId="0" xfId="0" applyNumberFormat="1" applyFont="1" applyAlignment="1">
      <alignment vertical="center"/>
    </xf>
    <xf numFmtId="9" fontId="12" fillId="0" borderId="0" xfId="2" applyFont="1" applyAlignment="1">
      <alignment vertical="center"/>
    </xf>
    <xf numFmtId="164" fontId="6" fillId="0" borderId="0" xfId="3" applyNumberFormat="1" applyFont="1" applyAlignment="1">
      <alignment horizontal="left" vertical="top"/>
    </xf>
    <xf numFmtId="0" fontId="4" fillId="5" borderId="4" xfId="3" applyFont="1" applyFill="1" applyBorder="1" applyAlignment="1">
      <alignment vertical="top"/>
    </xf>
    <xf numFmtId="6" fontId="11" fillId="5" borderId="4" xfId="3" applyNumberFormat="1" applyFont="1" applyFill="1" applyBorder="1" applyAlignment="1">
      <alignment vertical="center" shrinkToFit="1"/>
    </xf>
    <xf numFmtId="0" fontId="12" fillId="5" borderId="4" xfId="0" applyFont="1" applyFill="1" applyBorder="1" applyAlignment="1">
      <alignment vertical="center"/>
    </xf>
    <xf numFmtId="0" fontId="4" fillId="5" borderId="4" xfId="3" applyFont="1" applyFill="1" applyBorder="1" applyAlignment="1">
      <alignment vertical="center"/>
    </xf>
    <xf numFmtId="176" fontId="9" fillId="0" borderId="0" xfId="3" applyNumberFormat="1" applyFont="1" applyAlignment="1">
      <alignment vertical="center" shrinkToFit="1"/>
    </xf>
    <xf numFmtId="0" fontId="13" fillId="5" borderId="4" xfId="0" applyFont="1" applyFill="1" applyBorder="1" applyAlignment="1">
      <alignment vertical="center"/>
    </xf>
    <xf numFmtId="6" fontId="13" fillId="0" borderId="4" xfId="0" applyNumberFormat="1" applyFont="1" applyBorder="1" applyAlignment="1">
      <alignment vertical="center"/>
    </xf>
    <xf numFmtId="176" fontId="11" fillId="0" borderId="4" xfId="3" applyNumberFormat="1" applyFont="1" applyBorder="1" applyAlignment="1">
      <alignment vertical="center" shrinkToFit="1"/>
    </xf>
    <xf numFmtId="9" fontId="12" fillId="0" borderId="0" xfId="0" applyNumberFormat="1" applyFont="1" applyAlignment="1">
      <alignment vertical="center"/>
    </xf>
    <xf numFmtId="0" fontId="13" fillId="0" borderId="3" xfId="0" applyFont="1" applyBorder="1" applyAlignment="1">
      <alignment vertical="center"/>
    </xf>
    <xf numFmtId="10" fontId="13" fillId="0" borderId="5" xfId="2" applyNumberFormat="1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6" fontId="13" fillId="0" borderId="8" xfId="0" applyNumberFormat="1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177" fontId="13" fillId="0" borderId="10" xfId="0" applyNumberFormat="1" applyFont="1" applyBorder="1" applyAlignment="1">
      <alignment vertical="center"/>
    </xf>
    <xf numFmtId="0" fontId="13" fillId="5" borderId="0" xfId="0" applyFont="1" applyFill="1" applyAlignment="1">
      <alignment vertical="center"/>
    </xf>
    <xf numFmtId="6" fontId="9" fillId="0" borderId="4" xfId="3" applyNumberFormat="1" applyFont="1" applyBorder="1" applyAlignment="1">
      <alignment vertical="center" shrinkToFit="1"/>
    </xf>
    <xf numFmtId="0" fontId="12" fillId="5" borderId="0" xfId="0" applyFont="1" applyFill="1" applyAlignment="1">
      <alignment vertical="center"/>
    </xf>
    <xf numFmtId="0" fontId="7" fillId="6" borderId="0" xfId="3" applyFont="1" applyFill="1" applyAlignment="1">
      <alignment vertical="center"/>
    </xf>
    <xf numFmtId="0" fontId="13" fillId="6" borderId="0" xfId="0" applyFont="1" applyFill="1" applyAlignment="1">
      <alignment vertical="center"/>
    </xf>
    <xf numFmtId="164" fontId="9" fillId="6" borderId="0" xfId="3" applyNumberFormat="1" applyFont="1" applyFill="1" applyAlignment="1">
      <alignment vertical="center" shrinkToFit="1"/>
    </xf>
    <xf numFmtId="10" fontId="13" fillId="6" borderId="0" xfId="0" applyNumberFormat="1" applyFont="1" applyFill="1" applyAlignment="1">
      <alignment vertical="center"/>
    </xf>
    <xf numFmtId="175" fontId="9" fillId="6" borderId="0" xfId="3" applyNumberFormat="1" applyFont="1" applyFill="1" applyAlignment="1">
      <alignment vertical="center" shrinkToFit="1"/>
    </xf>
    <xf numFmtId="9" fontId="9" fillId="6" borderId="0" xfId="2" applyFont="1" applyFill="1" applyAlignment="1">
      <alignment vertical="center" shrinkToFit="1"/>
    </xf>
    <xf numFmtId="0" fontId="12" fillId="6" borderId="0" xfId="0" applyFont="1" applyFill="1" applyAlignment="1">
      <alignment vertical="center"/>
    </xf>
    <xf numFmtId="10" fontId="8" fillId="0" borderId="0" xfId="0" applyNumberFormat="1" applyFont="1" applyAlignment="1">
      <alignment vertical="center"/>
    </xf>
    <xf numFmtId="6" fontId="8" fillId="0" borderId="0" xfId="3" applyNumberFormat="1" applyFont="1" applyAlignment="1">
      <alignment vertical="center" shrinkToFit="1"/>
    </xf>
    <xf numFmtId="10" fontId="7" fillId="0" borderId="0" xfId="0" applyNumberFormat="1" applyFont="1" applyAlignment="1">
      <alignment vertical="center"/>
    </xf>
    <xf numFmtId="176" fontId="11" fillId="0" borderId="0" xfId="3" applyNumberFormat="1" applyFont="1" applyAlignment="1">
      <alignment vertical="center" shrinkToFit="1"/>
    </xf>
    <xf numFmtId="177" fontId="13" fillId="0" borderId="0" xfId="0" applyNumberFormat="1" applyFont="1" applyAlignment="1">
      <alignment vertical="center"/>
    </xf>
    <xf numFmtId="9" fontId="8" fillId="0" borderId="0" xfId="2" applyFont="1" applyBorder="1" applyAlignment="1">
      <alignment horizontal="right" vertical="center" shrinkToFit="1"/>
    </xf>
    <xf numFmtId="0" fontId="7" fillId="0" borderId="0" xfId="3" applyFont="1" applyAlignment="1">
      <alignment vertical="top"/>
    </xf>
    <xf numFmtId="0" fontId="13" fillId="5" borderId="3" xfId="0" applyFont="1" applyFill="1" applyBorder="1" applyAlignment="1">
      <alignment vertical="center"/>
    </xf>
    <xf numFmtId="0" fontId="12" fillId="5" borderId="5" xfId="0" applyFont="1" applyFill="1" applyBorder="1" applyAlignment="1">
      <alignment vertical="center"/>
    </xf>
    <xf numFmtId="0" fontId="12" fillId="0" borderId="6" xfId="0" applyFont="1" applyBorder="1" applyAlignment="1">
      <alignment vertical="center"/>
    </xf>
    <xf numFmtId="174" fontId="8" fillId="0" borderId="8" xfId="5" applyNumberFormat="1" applyFont="1" applyBorder="1" applyAlignment="1">
      <alignment horizontal="right" vertical="center" shrinkToFit="1"/>
    </xf>
    <xf numFmtId="10" fontId="8" fillId="0" borderId="8" xfId="0" applyNumberFormat="1" applyFont="1" applyBorder="1" applyAlignment="1">
      <alignment vertical="center"/>
    </xf>
    <xf numFmtId="0" fontId="7" fillId="0" borderId="6" xfId="3" applyFont="1" applyBorder="1" applyAlignment="1">
      <alignment vertical="top"/>
    </xf>
    <xf numFmtId="0" fontId="8" fillId="0" borderId="8" xfId="3" applyFont="1" applyBorder="1" applyAlignment="1">
      <alignment vertical="top"/>
    </xf>
    <xf numFmtId="0" fontId="12" fillId="0" borderId="9" xfId="0" applyFont="1" applyBorder="1" applyAlignment="1">
      <alignment vertical="center"/>
    </xf>
    <xf numFmtId="174" fontId="7" fillId="0" borderId="10" xfId="5" applyNumberFormat="1" applyFont="1" applyBorder="1" applyAlignment="1">
      <alignment horizontal="right" vertical="center" shrinkToFit="1"/>
    </xf>
    <xf numFmtId="174" fontId="9" fillId="0" borderId="0" xfId="3" applyNumberFormat="1" applyFont="1" applyAlignment="1">
      <alignment vertical="center" shrinkToFit="1"/>
    </xf>
    <xf numFmtId="0" fontId="5" fillId="3" borderId="0" xfId="3" applyFont="1" applyFill="1" applyAlignment="1">
      <alignment horizontal="left" vertical="center"/>
    </xf>
    <xf numFmtId="10" fontId="12" fillId="6" borderId="0" xfId="0" applyNumberFormat="1" applyFont="1" applyFill="1" applyAlignment="1">
      <alignment vertical="center"/>
    </xf>
    <xf numFmtId="9" fontId="12" fillId="0" borderId="19" xfId="0" applyNumberFormat="1" applyFont="1" applyBorder="1" applyAlignment="1">
      <alignment vertical="center"/>
    </xf>
    <xf numFmtId="0" fontId="7" fillId="0" borderId="3" xfId="3" applyFont="1" applyBorder="1" applyAlignment="1">
      <alignment horizontal="left" vertical="center"/>
    </xf>
    <xf numFmtId="165" fontId="8" fillId="0" borderId="5" xfId="3" applyNumberFormat="1" applyFont="1" applyBorder="1" applyAlignment="1">
      <alignment vertical="center" shrinkToFit="1"/>
    </xf>
    <xf numFmtId="0" fontId="7" fillId="0" borderId="6" xfId="3" applyFont="1" applyBorder="1" applyAlignment="1">
      <alignment horizontal="left" vertical="center"/>
    </xf>
    <xf numFmtId="165" fontId="8" fillId="0" borderId="8" xfId="3" applyNumberFormat="1" applyFont="1" applyBorder="1" applyAlignment="1">
      <alignment vertical="center" shrinkToFit="1"/>
    </xf>
    <xf numFmtId="1" fontId="8" fillId="0" borderId="8" xfId="3" applyNumberFormat="1" applyFont="1" applyBorder="1" applyAlignment="1">
      <alignment horizontal="right" vertical="center" shrinkToFit="1"/>
    </xf>
    <xf numFmtId="0" fontId="7" fillId="0" borderId="9" xfId="3" applyFont="1" applyBorder="1" applyAlignment="1">
      <alignment horizontal="left" vertical="center"/>
    </xf>
    <xf numFmtId="0" fontId="12" fillId="0" borderId="7" xfId="0" applyFont="1" applyBorder="1" applyAlignment="1">
      <alignment horizontal="right" vertical="center"/>
    </xf>
    <xf numFmtId="1" fontId="8" fillId="0" borderId="10" xfId="3" applyNumberFormat="1" applyFont="1" applyBorder="1" applyAlignment="1">
      <alignment horizontal="right" vertical="center" shrinkToFit="1"/>
    </xf>
    <xf numFmtId="164" fontId="12" fillId="0" borderId="0" xfId="0" applyNumberFormat="1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 indent="2"/>
    </xf>
    <xf numFmtId="0" fontId="7" fillId="0" borderId="0" xfId="3" applyFont="1" applyAlignment="1">
      <alignment horizontal="left" vertical="center" indent="2"/>
    </xf>
    <xf numFmtId="173" fontId="8" fillId="6" borderId="0" xfId="0" applyNumberFormat="1" applyFont="1" applyFill="1" applyAlignment="1">
      <alignment vertical="center"/>
    </xf>
    <xf numFmtId="6" fontId="9" fillId="6" borderId="0" xfId="3" applyNumberFormat="1" applyFont="1" applyFill="1" applyAlignment="1">
      <alignment vertical="center" shrinkToFit="1"/>
    </xf>
    <xf numFmtId="6" fontId="8" fillId="0" borderId="0" xfId="0" applyNumberFormat="1" applyFont="1" applyAlignment="1">
      <alignment vertical="center"/>
    </xf>
    <xf numFmtId="9" fontId="8" fillId="0" borderId="0" xfId="2" applyFont="1" applyAlignment="1">
      <alignment vertical="center"/>
    </xf>
    <xf numFmtId="6" fontId="12" fillId="0" borderId="8" xfId="0" applyNumberFormat="1" applyFont="1" applyBorder="1" applyAlignment="1">
      <alignment vertical="center"/>
    </xf>
    <xf numFmtId="10" fontId="12" fillId="0" borderId="0" xfId="2" applyNumberFormat="1" applyFont="1" applyAlignment="1">
      <alignment vertical="center"/>
    </xf>
    <xf numFmtId="178" fontId="9" fillId="0" borderId="0" xfId="3" applyNumberFormat="1" applyFont="1" applyAlignment="1">
      <alignment vertical="center" shrinkToFit="1"/>
    </xf>
    <xf numFmtId="0" fontId="12" fillId="7" borderId="0" xfId="0" applyFont="1" applyFill="1" applyAlignment="1">
      <alignment vertical="center"/>
    </xf>
    <xf numFmtId="10" fontId="8" fillId="0" borderId="0" xfId="2" applyNumberFormat="1" applyFont="1" applyAlignment="1">
      <alignment vertical="center"/>
    </xf>
    <xf numFmtId="174" fontId="12" fillId="0" borderId="0" xfId="0" applyNumberFormat="1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right"/>
    </xf>
    <xf numFmtId="10" fontId="7" fillId="0" borderId="0" xfId="2" applyNumberFormat="1" applyFont="1"/>
    <xf numFmtId="10" fontId="7" fillId="0" borderId="0" xfId="0" applyNumberFormat="1" applyFont="1"/>
    <xf numFmtId="10" fontId="7" fillId="0" borderId="0" xfId="2" applyNumberFormat="1" applyFont="1" applyBorder="1"/>
    <xf numFmtId="171" fontId="12" fillId="6" borderId="0" xfId="0" applyNumberFormat="1" applyFont="1" applyFill="1" applyAlignment="1">
      <alignment vertical="center"/>
    </xf>
    <xf numFmtId="6" fontId="7" fillId="0" borderId="0" xfId="2" applyNumberFormat="1" applyFont="1"/>
    <xf numFmtId="180" fontId="7" fillId="0" borderId="0" xfId="0" applyNumberFormat="1" applyFont="1"/>
    <xf numFmtId="179" fontId="7" fillId="0" borderId="0" xfId="0" applyNumberFormat="1" applyFont="1"/>
    <xf numFmtId="168" fontId="14" fillId="0" borderId="0" xfId="6" applyNumberFormat="1" applyFont="1" applyBorder="1" applyAlignment="1">
      <alignment horizontal="right"/>
    </xf>
    <xf numFmtId="43" fontId="7" fillId="0" borderId="0" xfId="1" applyFont="1" applyBorder="1"/>
    <xf numFmtId="0" fontId="14" fillId="0" borderId="0" xfId="0" applyFont="1"/>
    <xf numFmtId="0" fontId="14" fillId="0" borderId="0" xfId="0" applyFont="1" applyAlignment="1">
      <alignment horizontal="right"/>
    </xf>
    <xf numFmtId="10" fontId="14" fillId="0" borderId="0" xfId="2" applyNumberFormat="1" applyFont="1" applyBorder="1"/>
    <xf numFmtId="168" fontId="14" fillId="0" borderId="0" xfId="0" applyNumberFormat="1" applyFont="1"/>
    <xf numFmtId="10" fontId="14" fillId="0" borderId="0" xfId="0" applyNumberFormat="1" applyFont="1"/>
    <xf numFmtId="179" fontId="14" fillId="0" borderId="0" xfId="0" applyNumberFormat="1" applyFont="1"/>
    <xf numFmtId="0" fontId="14" fillId="0" borderId="0" xfId="0" applyFont="1" applyAlignment="1">
      <alignment horizontal="left" indent="1"/>
    </xf>
    <xf numFmtId="180" fontId="14" fillId="0" borderId="0" xfId="0" applyNumberFormat="1" applyFont="1"/>
    <xf numFmtId="180" fontId="14" fillId="0" borderId="0" xfId="0" applyNumberFormat="1" applyFont="1" applyAlignment="1">
      <alignment horizontal="right"/>
    </xf>
    <xf numFmtId="181" fontId="14" fillId="0" borderId="0" xfId="0" applyNumberFormat="1" applyFont="1"/>
    <xf numFmtId="168" fontId="7" fillId="0" borderId="0" xfId="0" applyNumberFormat="1" applyFont="1"/>
    <xf numFmtId="3" fontId="7" fillId="0" borderId="0" xfId="0" applyNumberFormat="1" applyFont="1"/>
    <xf numFmtId="6" fontId="7" fillId="0" borderId="0" xfId="0" applyNumberFormat="1" applyFont="1"/>
    <xf numFmtId="9" fontId="7" fillId="0" borderId="0" xfId="0" applyNumberFormat="1" applyFont="1"/>
    <xf numFmtId="10" fontId="12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 indent="2"/>
    </xf>
    <xf numFmtId="9" fontId="12" fillId="0" borderId="0" xfId="0" applyNumberFormat="1" applyFont="1" applyAlignment="1">
      <alignment horizontal="left" vertical="center"/>
    </xf>
    <xf numFmtId="10" fontId="12" fillId="0" borderId="0" xfId="0" applyNumberFormat="1" applyFont="1" applyAlignment="1">
      <alignment horizontal="left" vertical="center"/>
    </xf>
    <xf numFmtId="6" fontId="12" fillId="0" borderId="3" xfId="0" applyNumberFormat="1" applyFont="1" applyBorder="1" applyAlignment="1">
      <alignment vertical="center"/>
    </xf>
    <xf numFmtId="6" fontId="12" fillId="0" borderId="4" xfId="0" applyNumberFormat="1" applyFont="1" applyBorder="1" applyAlignment="1">
      <alignment vertical="center"/>
    </xf>
    <xf numFmtId="6" fontId="12" fillId="0" borderId="5" xfId="0" applyNumberFormat="1" applyFont="1" applyBorder="1" applyAlignment="1">
      <alignment vertical="center"/>
    </xf>
    <xf numFmtId="6" fontId="12" fillId="0" borderId="6" xfId="0" applyNumberFormat="1" applyFont="1" applyBorder="1" applyAlignment="1">
      <alignment vertical="center"/>
    </xf>
    <xf numFmtId="6" fontId="12" fillId="0" borderId="9" xfId="0" applyNumberFormat="1" applyFont="1" applyBorder="1" applyAlignment="1">
      <alignment vertical="center"/>
    </xf>
    <xf numFmtId="6" fontId="12" fillId="0" borderId="7" xfId="0" applyNumberFormat="1" applyFont="1" applyBorder="1" applyAlignment="1">
      <alignment vertical="center"/>
    </xf>
    <xf numFmtId="6" fontId="12" fillId="0" borderId="10" xfId="0" applyNumberFormat="1" applyFont="1" applyBorder="1" applyAlignment="1">
      <alignment vertical="center"/>
    </xf>
    <xf numFmtId="0" fontId="7" fillId="0" borderId="0" xfId="3" applyFont="1" applyAlignment="1">
      <alignment horizontal="left" vertical="top"/>
      <extLst>
        <ext xmlns:xfpb="http://schemas.microsoft.com/office/spreadsheetml/2022/featurepropertybag" uri="{C7286773-470A-42A8-94C5-96B5CB345126}">
          <xfpb:xfComplement i="0"/>
        </ext>
      </extLst>
    </xf>
    <xf numFmtId="172" fontId="12" fillId="6" borderId="0" xfId="0" applyNumberFormat="1" applyFont="1" applyFill="1" applyAlignment="1">
      <alignment vertical="center"/>
    </xf>
    <xf numFmtId="14" fontId="12" fillId="6" borderId="0" xfId="0" applyNumberFormat="1" applyFont="1" applyFill="1" applyAlignment="1">
      <alignment vertical="center"/>
    </xf>
    <xf numFmtId="164" fontId="11" fillId="6" borderId="4" xfId="3" applyNumberFormat="1" applyFont="1" applyFill="1" applyBorder="1" applyAlignment="1">
      <alignment vertical="center" shrinkToFit="1"/>
    </xf>
    <xf numFmtId="164" fontId="11" fillId="6" borderId="0" xfId="3" applyNumberFormat="1" applyFont="1" applyFill="1" applyAlignment="1">
      <alignment vertical="center" shrinkToFit="1"/>
    </xf>
    <xf numFmtId="6" fontId="11" fillId="6" borderId="4" xfId="3" applyNumberFormat="1" applyFont="1" applyFill="1" applyBorder="1" applyAlignment="1">
      <alignment vertical="center" shrinkToFit="1"/>
    </xf>
    <xf numFmtId="6" fontId="11" fillId="6" borderId="0" xfId="3" applyNumberFormat="1" applyFont="1" applyFill="1" applyAlignment="1">
      <alignment vertical="center" shrinkToFit="1"/>
    </xf>
    <xf numFmtId="9" fontId="12" fillId="6" borderId="0" xfId="2" applyFont="1" applyFill="1" applyAlignment="1">
      <alignment vertical="center"/>
    </xf>
    <xf numFmtId="176" fontId="9" fillId="6" borderId="0" xfId="3" applyNumberFormat="1" applyFont="1" applyFill="1" applyAlignment="1">
      <alignment vertical="center" shrinkToFit="1"/>
    </xf>
    <xf numFmtId="177" fontId="13" fillId="5" borderId="0" xfId="0" applyNumberFormat="1" applyFont="1" applyFill="1" applyAlignment="1">
      <alignment vertical="center"/>
    </xf>
    <xf numFmtId="0" fontId="4" fillId="5" borderId="0" xfId="0" applyFont="1" applyFill="1"/>
    <xf numFmtId="171" fontId="12" fillId="0" borderId="19" xfId="0" applyNumberFormat="1" applyFont="1" applyBorder="1" applyAlignment="1">
      <alignment vertical="center"/>
    </xf>
    <xf numFmtId="177" fontId="12" fillId="0" borderId="0" xfId="0" applyNumberFormat="1" applyFont="1" applyAlignment="1">
      <alignment vertical="center"/>
    </xf>
    <xf numFmtId="0" fontId="4" fillId="2" borderId="0" xfId="3" applyFont="1" applyFill="1" applyAlignment="1">
      <alignment horizontal="left" vertical="top"/>
    </xf>
    <xf numFmtId="0" fontId="6" fillId="3" borderId="0" xfId="3" applyFont="1" applyFill="1" applyAlignment="1">
      <alignment horizontal="left"/>
    </xf>
    <xf numFmtId="0" fontId="4" fillId="3" borderId="0" xfId="3" applyFont="1" applyFill="1" applyAlignment="1">
      <alignment horizontal="left" vertical="top"/>
    </xf>
    <xf numFmtId="0" fontId="4" fillId="3" borderId="0" xfId="3" applyFont="1" applyFill="1" applyAlignment="1">
      <alignment horizontal="center" vertical="top"/>
    </xf>
    <xf numFmtId="0" fontId="7" fillId="0" borderId="0" xfId="3" applyFont="1" applyAlignment="1">
      <alignment horizontal="right" vertical="top"/>
    </xf>
    <xf numFmtId="0" fontId="7" fillId="0" borderId="0" xfId="3" applyFont="1" applyAlignment="1">
      <alignment horizontal="left" vertical="top"/>
    </xf>
    <xf numFmtId="164" fontId="9" fillId="0" borderId="0" xfId="3" applyNumberFormat="1" applyFont="1" applyAlignment="1">
      <alignment vertical="top" shrinkToFit="1"/>
    </xf>
    <xf numFmtId="1" fontId="9" fillId="0" borderId="0" xfId="3" applyNumberFormat="1" applyFont="1" applyAlignment="1">
      <alignment horizontal="right" vertical="top" shrinkToFit="1"/>
    </xf>
    <xf numFmtId="10" fontId="9" fillId="0" borderId="0" xfId="3" applyNumberFormat="1" applyFont="1" applyAlignment="1">
      <alignment horizontal="right" vertical="top" shrinkToFit="1"/>
    </xf>
    <xf numFmtId="0" fontId="7" fillId="4" borderId="0" xfId="3" applyFont="1" applyFill="1" applyAlignment="1">
      <alignment horizontal="left" vertical="top"/>
    </xf>
    <xf numFmtId="0" fontId="4" fillId="0" borderId="0" xfId="3" applyFont="1" applyAlignment="1">
      <alignment horizontal="left" vertical="top"/>
    </xf>
    <xf numFmtId="164" fontId="9" fillId="0" borderId="0" xfId="3" applyNumberFormat="1" applyFont="1" applyAlignment="1">
      <alignment horizontal="right" vertical="top" shrinkToFit="1"/>
    </xf>
    <xf numFmtId="0" fontId="6" fillId="0" borderId="0" xfId="3" applyFont="1" applyAlignment="1">
      <alignment horizontal="left"/>
    </xf>
    <xf numFmtId="168" fontId="9" fillId="0" borderId="0" xfId="1" applyNumberFormat="1" applyFont="1" applyAlignment="1">
      <alignment horizontal="right" vertical="top" shrinkToFit="1"/>
    </xf>
    <xf numFmtId="167" fontId="9" fillId="0" borderId="0" xfId="3" applyNumberFormat="1" applyFont="1" applyAlignment="1">
      <alignment horizontal="right" vertical="top" shrinkToFit="1"/>
    </xf>
    <xf numFmtId="0" fontId="7" fillId="0" borderId="2" xfId="3" applyFont="1" applyBorder="1" applyAlignment="1">
      <alignment horizontal="left" vertical="top"/>
    </xf>
    <xf numFmtId="0" fontId="6" fillId="0" borderId="0" xfId="3" applyFont="1" applyAlignment="1">
      <alignment horizontal="left" vertical="top"/>
    </xf>
    <xf numFmtId="0" fontId="6" fillId="0" borderId="1" xfId="3" applyFont="1" applyBorder="1" applyAlignment="1">
      <alignment horizontal="left" vertical="top"/>
    </xf>
    <xf numFmtId="164" fontId="11" fillId="0" borderId="0" xfId="3" applyNumberFormat="1" applyFont="1" applyAlignment="1">
      <alignment vertical="top" shrinkToFit="1"/>
    </xf>
    <xf numFmtId="10" fontId="8" fillId="0" borderId="0" xfId="3" applyNumberFormat="1" applyFont="1" applyAlignment="1">
      <alignment vertical="top" shrinkToFit="1"/>
    </xf>
    <xf numFmtId="1" fontId="8" fillId="0" borderId="0" xfId="3" applyNumberFormat="1" applyFont="1" applyAlignment="1">
      <alignment vertical="top" shrinkToFit="1"/>
    </xf>
    <xf numFmtId="0" fontId="9" fillId="0" borderId="0" xfId="3" applyFont="1" applyAlignment="1">
      <alignment horizontal="left" vertical="center"/>
    </xf>
    <xf numFmtId="164" fontId="8" fillId="0" borderId="0" xfId="3" applyNumberFormat="1" applyFont="1" applyAlignment="1">
      <alignment vertical="top" shrinkToFit="1"/>
    </xf>
    <xf numFmtId="9" fontId="9" fillId="0" borderId="0" xfId="2" applyFont="1" applyAlignment="1">
      <alignment horizontal="right" vertical="top" shrinkToFit="1"/>
    </xf>
    <xf numFmtId="165" fontId="8" fillId="0" borderId="0" xfId="3" applyNumberFormat="1" applyFont="1" applyAlignment="1">
      <alignment vertical="top" shrinkToFit="1"/>
    </xf>
    <xf numFmtId="0" fontId="5" fillId="6" borderId="0" xfId="3" applyFont="1" applyFill="1" applyAlignment="1">
      <alignment horizontal="left" vertical="center"/>
    </xf>
    <xf numFmtId="0" fontId="4" fillId="6" borderId="0" xfId="3" applyFont="1" applyFill="1" applyAlignment="1">
      <alignment horizontal="left" vertical="center"/>
    </xf>
    <xf numFmtId="0" fontId="5" fillId="3" borderId="0" xfId="3" applyFont="1" applyFill="1" applyAlignment="1">
      <alignment horizontal="left" vertical="center"/>
    </xf>
    <xf numFmtId="0" fontId="4" fillId="3" borderId="0" xfId="3" applyFont="1" applyFill="1" applyAlignment="1">
      <alignment horizontal="left" vertical="center"/>
    </xf>
    <xf numFmtId="0" fontId="4" fillId="7" borderId="0" xfId="3" applyFont="1" applyFill="1" applyAlignment="1">
      <alignment horizontal="left" vertical="top"/>
    </xf>
  </cellXfs>
  <cellStyles count="8">
    <cellStyle name="Comma" xfId="1" builtinId="3"/>
    <cellStyle name="Comma_one pager" xfId="6" xr:uid="{7271D4CA-98D3-451D-8AA9-A5E2FCB77DF7}"/>
    <cellStyle name="Currency" xfId="5" builtinId="4"/>
    <cellStyle name="Currency 2" xfId="4" xr:uid="{51A90EED-036F-4F60-AC30-F956E82E15AE}"/>
    <cellStyle name="Normal" xfId="0" builtinId="0"/>
    <cellStyle name="Normal 2" xfId="3" xr:uid="{A6F86EA9-F38D-46B3-9757-F0BB1F4A3C1B}"/>
    <cellStyle name="Normal 3" xfId="7" xr:uid="{A17F119F-B763-4C72-8BEA-808EA6050C49}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3C86-4682-4849-82BB-19F2FC73AC7A}">
  <sheetPr>
    <pageSetUpPr fitToPage="1"/>
  </sheetPr>
  <dimension ref="A1:O70"/>
  <sheetViews>
    <sheetView showGridLines="0" topLeftCell="A9" zoomScale="110" zoomScaleNormal="110" workbookViewId="0">
      <selection activeCell="P8" sqref="P8"/>
    </sheetView>
  </sheetViews>
  <sheetFormatPr defaultColWidth="7.7109375" defaultRowHeight="12" customHeight="1" x14ac:dyDescent="0.2"/>
  <cols>
    <col min="1" max="1" width="20.85546875" style="1" customWidth="1"/>
    <col min="2" max="2" width="27.28515625" style="1" customWidth="1"/>
    <col min="3" max="13" width="10.7109375" style="1" customWidth="1"/>
    <col min="14" max="14" width="9.85546875" style="1" customWidth="1"/>
    <col min="15" max="15" width="11.140625" style="1" bestFit="1" customWidth="1"/>
    <col min="16" max="16384" width="7.7109375" style="1"/>
  </cols>
  <sheetData>
    <row r="1" spans="1:14" ht="12" customHeight="1" x14ac:dyDescent="0.2">
      <c r="A1" s="178" t="s">
        <v>5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4"/>
    </row>
    <row r="2" spans="1:14" ht="12" customHeight="1" x14ac:dyDescent="0.2">
      <c r="A2" s="2" t="s">
        <v>71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14"/>
    </row>
    <row r="3" spans="1:14" ht="12" customHeight="1" x14ac:dyDescent="0.2">
      <c r="A3" s="2" t="s">
        <v>72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4"/>
    </row>
    <row r="4" spans="1:14" ht="12" customHeight="1" x14ac:dyDescent="0.2">
      <c r="A4" s="2" t="s">
        <v>73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4"/>
    </row>
    <row r="5" spans="1:14" ht="12" customHeight="1" x14ac:dyDescent="0.2">
      <c r="A5" s="2" t="s">
        <v>74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4"/>
    </row>
    <row r="6" spans="1:14" ht="12" customHeight="1" x14ac:dyDescent="0.2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4"/>
    </row>
    <row r="7" spans="1:14" ht="12" customHeight="1" x14ac:dyDescent="0.2">
      <c r="A7" s="181" t="s">
        <v>6</v>
      </c>
      <c r="B7" s="181"/>
      <c r="C7" s="181"/>
      <c r="D7" s="14"/>
      <c r="E7" s="181" t="s">
        <v>7</v>
      </c>
      <c r="F7" s="181"/>
      <c r="G7" s="181"/>
      <c r="H7" s="181"/>
      <c r="I7" s="181"/>
      <c r="J7" s="181"/>
      <c r="K7" s="181"/>
      <c r="L7" s="181"/>
      <c r="M7" s="181"/>
      <c r="N7" s="14"/>
    </row>
    <row r="8" spans="1:14" ht="12" customHeight="1" x14ac:dyDescent="0.2">
      <c r="A8" s="2" t="s">
        <v>0</v>
      </c>
      <c r="B8" s="2"/>
      <c r="C8" s="165" t="b">
        <v>1</v>
      </c>
      <c r="D8" s="14"/>
      <c r="E8" s="2" t="s">
        <v>82</v>
      </c>
      <c r="F8" s="2"/>
      <c r="G8" s="3"/>
      <c r="H8" s="3"/>
      <c r="I8" s="3"/>
      <c r="J8" s="3"/>
      <c r="K8" s="3"/>
      <c r="L8" s="3"/>
      <c r="M8" s="3"/>
      <c r="N8" s="14"/>
    </row>
    <row r="9" spans="1:14" ht="12" customHeight="1" x14ac:dyDescent="0.2">
      <c r="A9" s="2" t="s">
        <v>1</v>
      </c>
      <c r="B9" s="2"/>
      <c r="C9" s="165" t="b">
        <v>1</v>
      </c>
      <c r="D9" s="14"/>
      <c r="E9" s="2" t="s">
        <v>2</v>
      </c>
      <c r="F9" s="2"/>
      <c r="G9" s="3"/>
      <c r="H9" s="3"/>
      <c r="I9" s="3"/>
      <c r="J9" s="3"/>
      <c r="K9" s="3"/>
      <c r="L9" s="3"/>
      <c r="M9" s="3"/>
      <c r="N9" s="14"/>
    </row>
    <row r="10" spans="1:14" ht="12" customHeight="1" x14ac:dyDescent="0.2">
      <c r="A10" s="2" t="s">
        <v>81</v>
      </c>
      <c r="B10" s="2"/>
      <c r="C10" s="165" t="b">
        <v>1</v>
      </c>
      <c r="D10" s="14"/>
      <c r="E10" s="2" t="s">
        <v>3</v>
      </c>
      <c r="F10" s="2"/>
      <c r="G10" s="3"/>
      <c r="H10" s="3"/>
      <c r="I10" s="3"/>
      <c r="J10" s="3"/>
      <c r="K10" s="3"/>
      <c r="L10" s="3"/>
      <c r="M10" s="3"/>
      <c r="N10" s="14"/>
    </row>
    <row r="11" spans="1:14" ht="12" customHeight="1" x14ac:dyDescent="0.2">
      <c r="A11" s="2" t="s">
        <v>84</v>
      </c>
      <c r="B11" s="2"/>
      <c r="C11" s="165" t="b">
        <v>1</v>
      </c>
      <c r="D11" s="14"/>
      <c r="E11" s="2" t="s">
        <v>4</v>
      </c>
      <c r="F11" s="2"/>
      <c r="G11" s="3"/>
      <c r="H11" s="3"/>
      <c r="I11" s="3"/>
      <c r="J11" s="3"/>
      <c r="K11" s="3"/>
      <c r="L11" s="3"/>
      <c r="M11" s="3"/>
      <c r="N11" s="14"/>
    </row>
    <row r="12" spans="1:14" ht="12" customHeight="1" x14ac:dyDescent="0.2">
      <c r="A12" s="18"/>
      <c r="B12" s="3"/>
      <c r="C12" s="3"/>
      <c r="D12" s="14"/>
      <c r="E12" s="3"/>
      <c r="F12" s="3"/>
      <c r="G12" s="3"/>
      <c r="H12" s="3"/>
      <c r="I12" s="3"/>
      <c r="J12" s="3"/>
      <c r="K12" s="3"/>
      <c r="L12" s="3"/>
      <c r="M12" s="3"/>
      <c r="N12" s="14"/>
    </row>
    <row r="13" spans="1:14" ht="12" customHeight="1" x14ac:dyDescent="0.2">
      <c r="A13" s="3"/>
      <c r="B13" s="3"/>
      <c r="C13" s="3"/>
      <c r="D13" s="14"/>
      <c r="E13" s="3"/>
      <c r="F13" s="3"/>
      <c r="G13" s="3"/>
      <c r="H13" s="3"/>
      <c r="I13" s="3"/>
      <c r="J13" s="3"/>
      <c r="K13" s="3"/>
      <c r="L13" s="3"/>
      <c r="M13" s="3"/>
      <c r="N13" s="14"/>
    </row>
    <row r="14" spans="1:14" ht="12" customHeight="1" x14ac:dyDescent="0.2">
      <c r="A14" s="178" t="s">
        <v>8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4"/>
    </row>
    <row r="15" spans="1:14" ht="12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4" ht="12" customHeight="1" x14ac:dyDescent="0.2">
      <c r="A16" s="15" t="s">
        <v>9</v>
      </c>
      <c r="B16" s="179"/>
      <c r="C16" s="179"/>
      <c r="D16" s="14"/>
      <c r="E16" s="180" t="s">
        <v>10</v>
      </c>
      <c r="F16" s="180"/>
      <c r="G16" s="180"/>
      <c r="H16" s="16"/>
      <c r="I16" s="14"/>
      <c r="J16" s="180" t="s">
        <v>11</v>
      </c>
      <c r="K16" s="180"/>
      <c r="L16" s="179"/>
      <c r="M16" s="179"/>
    </row>
    <row r="17" spans="1:14" ht="12" customHeight="1" x14ac:dyDescent="0.2">
      <c r="A17" s="2" t="s">
        <v>12</v>
      </c>
      <c r="B17" s="182" t="s">
        <v>13</v>
      </c>
      <c r="C17" s="182"/>
      <c r="D17" s="14"/>
      <c r="E17" s="183" t="s">
        <v>14</v>
      </c>
      <c r="F17" s="183"/>
      <c r="G17" s="183"/>
      <c r="H17" s="4">
        <v>0.6</v>
      </c>
      <c r="I17" s="14"/>
      <c r="J17" s="183" t="s">
        <v>15</v>
      </c>
      <c r="K17" s="183"/>
      <c r="L17" s="184">
        <v>4200000</v>
      </c>
      <c r="M17" s="184"/>
    </row>
    <row r="18" spans="1:14" ht="12" customHeight="1" x14ac:dyDescent="0.2">
      <c r="A18" s="2" t="s">
        <v>16</v>
      </c>
      <c r="B18" s="182" t="s">
        <v>17</v>
      </c>
      <c r="C18" s="182"/>
      <c r="D18" s="14"/>
      <c r="E18" s="183" t="s">
        <v>18</v>
      </c>
      <c r="F18" s="183"/>
      <c r="G18" s="183"/>
      <c r="H18" s="4">
        <v>6.5000000000000002E-2</v>
      </c>
      <c r="I18" s="14"/>
      <c r="J18" s="183" t="s">
        <v>19</v>
      </c>
      <c r="K18" s="183"/>
      <c r="L18" s="184">
        <v>-15000</v>
      </c>
      <c r="M18" s="184"/>
    </row>
    <row r="19" spans="1:14" ht="12" customHeight="1" x14ac:dyDescent="0.2">
      <c r="A19" s="2" t="s">
        <v>20</v>
      </c>
      <c r="B19" s="182" t="s">
        <v>21</v>
      </c>
      <c r="C19" s="182"/>
      <c r="D19" s="14"/>
      <c r="E19" s="183" t="s">
        <v>22</v>
      </c>
      <c r="F19" s="183"/>
      <c r="G19" s="183"/>
      <c r="H19" s="5">
        <v>2</v>
      </c>
      <c r="I19" s="14"/>
      <c r="J19" s="183" t="s">
        <v>75</v>
      </c>
      <c r="K19" s="183"/>
      <c r="L19" s="184">
        <v>93750</v>
      </c>
      <c r="M19" s="184"/>
    </row>
    <row r="20" spans="1:14" ht="12" customHeight="1" x14ac:dyDescent="0.2">
      <c r="A20" s="2" t="s">
        <v>24</v>
      </c>
      <c r="B20" s="182" t="s">
        <v>25</v>
      </c>
      <c r="C20" s="182"/>
      <c r="D20" s="14"/>
      <c r="E20" s="183" t="s">
        <v>26</v>
      </c>
      <c r="F20" s="183"/>
      <c r="G20" s="183"/>
      <c r="H20" s="5">
        <v>30</v>
      </c>
      <c r="I20" s="14"/>
      <c r="J20" s="183" t="s">
        <v>76</v>
      </c>
      <c r="K20" s="183"/>
      <c r="L20" s="184">
        <v>-9375</v>
      </c>
      <c r="M20" s="184"/>
      <c r="N20" s="14"/>
    </row>
    <row r="21" spans="1:14" ht="12" customHeight="1" x14ac:dyDescent="0.2">
      <c r="A21" s="2" t="s">
        <v>28</v>
      </c>
      <c r="B21" s="185">
        <v>2023</v>
      </c>
      <c r="C21" s="185"/>
      <c r="D21" s="14"/>
      <c r="E21" s="183" t="s">
        <v>29</v>
      </c>
      <c r="F21" s="183"/>
      <c r="G21" s="183"/>
      <c r="H21" s="4">
        <v>0.01</v>
      </c>
      <c r="I21" s="14"/>
      <c r="J21" s="183" t="s">
        <v>77</v>
      </c>
      <c r="K21" s="183"/>
      <c r="L21" s="184">
        <v>15000</v>
      </c>
      <c r="M21" s="184"/>
      <c r="N21" s="14"/>
    </row>
    <row r="22" spans="1:14" ht="12" customHeight="1" x14ac:dyDescent="0.2">
      <c r="A22" s="2" t="s">
        <v>31</v>
      </c>
      <c r="B22" s="186">
        <v>0.85</v>
      </c>
      <c r="C22" s="186"/>
      <c r="D22" s="14"/>
      <c r="E22" s="183" t="s">
        <v>32</v>
      </c>
      <c r="F22" s="183"/>
      <c r="G22" s="183"/>
      <c r="H22" s="5">
        <v>7</v>
      </c>
      <c r="I22" s="14"/>
      <c r="J22" s="183" t="s">
        <v>23</v>
      </c>
      <c r="K22" s="183"/>
      <c r="L22" s="184">
        <v>125000</v>
      </c>
      <c r="M22" s="184"/>
      <c r="N22" s="14"/>
    </row>
    <row r="23" spans="1:14" ht="12" customHeight="1" x14ac:dyDescent="0.2">
      <c r="A23" s="2" t="s">
        <v>34</v>
      </c>
      <c r="B23" s="185">
        <v>300</v>
      </c>
      <c r="C23" s="185"/>
      <c r="D23" s="14"/>
      <c r="E23" s="187" t="s">
        <v>85</v>
      </c>
      <c r="F23" s="187"/>
      <c r="G23" s="187"/>
      <c r="H23" s="21">
        <f>B32*H17</f>
        <v>12000000</v>
      </c>
      <c r="I23" s="14"/>
      <c r="J23" s="188" t="s">
        <v>27</v>
      </c>
      <c r="K23" s="188"/>
      <c r="L23" s="196">
        <v>4409375</v>
      </c>
      <c r="M23" s="196"/>
      <c r="N23" s="14"/>
    </row>
    <row r="24" spans="1:14" ht="12" customHeight="1" x14ac:dyDescent="0.2">
      <c r="A24" s="2" t="s">
        <v>78</v>
      </c>
      <c r="B24" s="191">
        <v>3750</v>
      </c>
      <c r="C24" s="191"/>
      <c r="D24" s="14"/>
      <c r="E24" s="190"/>
      <c r="F24" s="190"/>
      <c r="G24" s="190"/>
      <c r="H24" s="14"/>
      <c r="I24" s="14"/>
      <c r="J24" s="183" t="s">
        <v>79</v>
      </c>
      <c r="K24" s="183"/>
      <c r="L24" s="184">
        <v>-800000</v>
      </c>
      <c r="M24" s="184"/>
      <c r="N24" s="14"/>
    </row>
    <row r="25" spans="1:14" ht="12" customHeight="1" x14ac:dyDescent="0.2">
      <c r="A25" s="2" t="s">
        <v>36</v>
      </c>
      <c r="B25" s="189">
        <v>1250</v>
      </c>
      <c r="C25" s="189"/>
      <c r="D25" s="14"/>
      <c r="E25" s="190"/>
      <c r="F25" s="190"/>
      <c r="G25" s="190"/>
      <c r="H25" s="14"/>
      <c r="I25" s="14"/>
      <c r="J25" s="183" t="s">
        <v>33</v>
      </c>
      <c r="K25" s="183"/>
      <c r="L25" s="184">
        <v>-400000</v>
      </c>
      <c r="M25" s="184"/>
      <c r="N25" s="14"/>
    </row>
    <row r="26" spans="1:14" ht="12" customHeight="1" x14ac:dyDescent="0.2">
      <c r="A26" s="2" t="s">
        <v>75</v>
      </c>
      <c r="B26" s="192">
        <v>25</v>
      </c>
      <c r="C26" s="192"/>
      <c r="D26" s="14"/>
      <c r="E26" s="180" t="s">
        <v>40</v>
      </c>
      <c r="F26" s="180"/>
      <c r="G26" s="180"/>
      <c r="H26" s="16"/>
      <c r="I26" s="14"/>
      <c r="J26" s="183" t="s">
        <v>35</v>
      </c>
      <c r="K26" s="183"/>
      <c r="L26" s="184">
        <v>-110485</v>
      </c>
      <c r="M26" s="184"/>
      <c r="N26" s="14"/>
    </row>
    <row r="27" spans="1:14" ht="12" customHeight="1" x14ac:dyDescent="0.2">
      <c r="A27" s="2" t="s">
        <v>76</v>
      </c>
      <c r="B27" s="201">
        <v>0.1</v>
      </c>
      <c r="C27" s="201"/>
      <c r="D27" s="14"/>
      <c r="E27" s="199" t="s">
        <v>43</v>
      </c>
      <c r="F27" s="199"/>
      <c r="G27" s="199"/>
      <c r="H27" s="4">
        <v>0.01</v>
      </c>
      <c r="I27" s="14"/>
      <c r="J27" s="188" t="s">
        <v>37</v>
      </c>
      <c r="K27" s="188"/>
      <c r="L27" s="196">
        <v>3098890</v>
      </c>
      <c r="M27" s="196"/>
      <c r="N27" s="14"/>
    </row>
    <row r="28" spans="1:14" ht="12" customHeight="1" x14ac:dyDescent="0.2">
      <c r="A28" s="2" t="s">
        <v>77</v>
      </c>
      <c r="B28" s="192">
        <v>4</v>
      </c>
      <c r="C28" s="192"/>
      <c r="D28" s="14"/>
      <c r="E28" s="183" t="s">
        <v>46</v>
      </c>
      <c r="F28" s="183"/>
      <c r="G28" s="183"/>
      <c r="H28" s="4">
        <v>7.4999999999999997E-2</v>
      </c>
      <c r="I28" s="14"/>
      <c r="J28" s="183" t="s">
        <v>38</v>
      </c>
      <c r="K28" s="183"/>
      <c r="L28" s="184">
        <v>-799318</v>
      </c>
      <c r="M28" s="184"/>
      <c r="N28" s="14"/>
    </row>
    <row r="29" spans="1:14" ht="12" customHeight="1" x14ac:dyDescent="0.2">
      <c r="D29" s="14"/>
      <c r="E29" s="183" t="s">
        <v>49</v>
      </c>
      <c r="F29" s="183"/>
      <c r="G29" s="183"/>
      <c r="H29" s="4">
        <v>0.25</v>
      </c>
      <c r="I29" s="14"/>
      <c r="J29" s="183" t="s">
        <v>41</v>
      </c>
      <c r="K29" s="183"/>
      <c r="L29" s="184">
        <v>-125785</v>
      </c>
      <c r="M29" s="184"/>
      <c r="N29" s="14"/>
    </row>
    <row r="30" spans="1:14" ht="12" customHeight="1" x14ac:dyDescent="0.2">
      <c r="A30" s="15" t="s">
        <v>39</v>
      </c>
      <c r="B30" s="179"/>
      <c r="C30" s="179"/>
      <c r="D30" s="14"/>
      <c r="E30" s="190"/>
      <c r="F30" s="190"/>
      <c r="G30" s="190"/>
      <c r="H30" s="14"/>
      <c r="I30" s="14"/>
      <c r="J30" s="183" t="s">
        <v>44</v>
      </c>
      <c r="K30" s="183"/>
      <c r="L30" s="184">
        <v>-122556</v>
      </c>
      <c r="M30" s="184"/>
      <c r="N30" s="14"/>
    </row>
    <row r="31" spans="1:14" ht="12" customHeight="1" x14ac:dyDescent="0.2">
      <c r="A31" s="2" t="s">
        <v>42</v>
      </c>
      <c r="B31" s="202">
        <v>46023</v>
      </c>
      <c r="C31" s="202"/>
      <c r="D31" s="14"/>
      <c r="I31" s="14"/>
      <c r="J31" s="183" t="s">
        <v>47</v>
      </c>
      <c r="K31" s="183"/>
      <c r="L31" s="184">
        <v>-927010</v>
      </c>
      <c r="M31" s="184"/>
      <c r="N31" s="14"/>
    </row>
    <row r="32" spans="1:14" ht="12" customHeight="1" x14ac:dyDescent="0.2">
      <c r="A32" s="2" t="s">
        <v>45</v>
      </c>
      <c r="B32" s="200">
        <v>20000000</v>
      </c>
      <c r="C32" s="200"/>
      <c r="D32" s="19"/>
      <c r="I32" s="14"/>
      <c r="J32" s="188" t="s">
        <v>50</v>
      </c>
      <c r="K32" s="188"/>
      <c r="L32" s="196">
        <v>-1974669</v>
      </c>
      <c r="M32" s="196"/>
      <c r="N32" s="14"/>
    </row>
    <row r="33" spans="1:15" ht="12" customHeight="1" x14ac:dyDescent="0.2">
      <c r="A33" s="2" t="s">
        <v>48</v>
      </c>
      <c r="B33" s="197">
        <v>0.02</v>
      </c>
      <c r="C33" s="197"/>
      <c r="D33" s="17"/>
      <c r="I33" s="17"/>
      <c r="J33" s="183" t="s">
        <v>52</v>
      </c>
      <c r="K33" s="183"/>
      <c r="L33" s="184">
        <v>-45000</v>
      </c>
      <c r="M33" s="184"/>
      <c r="N33" s="14"/>
    </row>
    <row r="34" spans="1:15" ht="12" customHeight="1" x14ac:dyDescent="0.2">
      <c r="A34" s="2" t="s">
        <v>51</v>
      </c>
      <c r="B34" s="197">
        <v>0.02</v>
      </c>
      <c r="C34" s="197"/>
      <c r="D34" s="17"/>
      <c r="E34" s="180" t="s">
        <v>54</v>
      </c>
      <c r="F34" s="180"/>
      <c r="G34" s="180"/>
      <c r="H34" s="16"/>
      <c r="I34" s="17"/>
      <c r="J34" s="188" t="s">
        <v>55</v>
      </c>
      <c r="K34" s="188"/>
      <c r="L34" s="196">
        <v>1079221</v>
      </c>
      <c r="M34" s="196"/>
      <c r="N34" s="59"/>
      <c r="O34" s="20"/>
    </row>
    <row r="35" spans="1:15" ht="12" customHeight="1" x14ac:dyDescent="0.2">
      <c r="A35" s="2" t="s">
        <v>53</v>
      </c>
      <c r="B35" s="198">
        <v>7</v>
      </c>
      <c r="C35" s="198"/>
      <c r="D35" s="17"/>
      <c r="E35" s="183" t="s">
        <v>57</v>
      </c>
      <c r="F35" s="183"/>
      <c r="G35" s="183"/>
      <c r="H35" s="6">
        <v>2000000</v>
      </c>
      <c r="I35" s="17"/>
      <c r="J35" s="183" t="s">
        <v>58</v>
      </c>
      <c r="K35" s="183"/>
      <c r="L35" s="184">
        <v>-35000</v>
      </c>
      <c r="M35" s="184"/>
      <c r="N35" s="14"/>
    </row>
    <row r="36" spans="1:15" ht="12" customHeight="1" x14ac:dyDescent="0.2">
      <c r="A36" s="2" t="s">
        <v>56</v>
      </c>
      <c r="B36" s="197">
        <v>5.5E-2</v>
      </c>
      <c r="C36" s="197"/>
      <c r="D36" s="17"/>
      <c r="E36" s="183" t="s">
        <v>59</v>
      </c>
      <c r="F36" s="183"/>
      <c r="G36" s="183"/>
      <c r="H36" s="4">
        <v>0.09</v>
      </c>
      <c r="I36" s="17"/>
      <c r="J36" s="188" t="s">
        <v>83</v>
      </c>
      <c r="K36" s="188"/>
      <c r="L36" s="196">
        <v>1044221</v>
      </c>
      <c r="M36" s="196"/>
      <c r="N36" s="14"/>
    </row>
    <row r="37" spans="1:15" ht="12" customHeight="1" x14ac:dyDescent="0.2">
      <c r="A37" s="17"/>
      <c r="B37" s="17"/>
      <c r="C37" s="17"/>
      <c r="D37" s="17"/>
      <c r="E37" s="2"/>
      <c r="F37" s="2"/>
      <c r="G37" s="2"/>
      <c r="H37" s="4"/>
      <c r="I37" s="17"/>
      <c r="J37" s="3"/>
      <c r="K37" s="3"/>
      <c r="L37" s="13"/>
      <c r="M37" s="13"/>
      <c r="N37" s="14"/>
    </row>
    <row r="38" spans="1:15" ht="12" customHeight="1" x14ac:dyDescent="0.2">
      <c r="A38" s="180" t="s">
        <v>60</v>
      </c>
      <c r="B38" s="180"/>
      <c r="C38" s="7">
        <v>1</v>
      </c>
      <c r="D38" s="7">
        <v>2</v>
      </c>
      <c r="E38" s="7">
        <v>3</v>
      </c>
      <c r="F38" s="7">
        <v>4</v>
      </c>
      <c r="G38" s="7">
        <v>5</v>
      </c>
      <c r="H38" s="7">
        <v>6</v>
      </c>
      <c r="I38" s="7">
        <v>7</v>
      </c>
      <c r="J38" s="7">
        <v>8</v>
      </c>
      <c r="K38" s="7">
        <v>9</v>
      </c>
      <c r="L38" s="7">
        <v>10</v>
      </c>
      <c r="M38" s="7">
        <v>11</v>
      </c>
      <c r="N38" s="14"/>
    </row>
    <row r="39" spans="1:15" ht="12" customHeight="1" x14ac:dyDescent="0.2">
      <c r="A39" s="183" t="s">
        <v>61</v>
      </c>
      <c r="B39" s="183"/>
      <c r="C39" s="8">
        <v>0</v>
      </c>
      <c r="D39" s="8">
        <v>0.05</v>
      </c>
      <c r="E39" s="8">
        <v>0.04</v>
      </c>
      <c r="F39" s="8">
        <v>0.03</v>
      </c>
      <c r="G39" s="8">
        <v>0.03</v>
      </c>
      <c r="H39" s="8">
        <v>0.03</v>
      </c>
      <c r="I39" s="8">
        <v>0.03</v>
      </c>
      <c r="J39" s="8">
        <v>0.03</v>
      </c>
      <c r="K39" s="8">
        <v>0.03</v>
      </c>
      <c r="L39" s="8">
        <v>0.03</v>
      </c>
      <c r="M39" s="8">
        <v>0.03</v>
      </c>
      <c r="N39" s="14"/>
    </row>
    <row r="40" spans="1:15" ht="12" customHeight="1" x14ac:dyDescent="0.2">
      <c r="A40" s="183" t="s">
        <v>62</v>
      </c>
      <c r="B40" s="183"/>
      <c r="C40" s="8">
        <v>7.4999999999999997E-3</v>
      </c>
      <c r="D40" s="8">
        <v>0.01</v>
      </c>
      <c r="E40" s="8">
        <v>0.01</v>
      </c>
      <c r="F40" s="8">
        <v>0.01</v>
      </c>
      <c r="G40" s="8">
        <v>0.01</v>
      </c>
      <c r="H40" s="8">
        <v>0.01</v>
      </c>
      <c r="I40" s="8">
        <v>0.01</v>
      </c>
      <c r="J40" s="8">
        <v>0.01</v>
      </c>
      <c r="K40" s="8">
        <v>0.01</v>
      </c>
      <c r="L40" s="8">
        <v>0.01</v>
      </c>
      <c r="M40" s="8">
        <v>0.01</v>
      </c>
      <c r="N40" s="14"/>
    </row>
    <row r="41" spans="1:15" ht="12" customHeight="1" x14ac:dyDescent="0.2">
      <c r="A41" s="2" t="s">
        <v>80</v>
      </c>
      <c r="B41" s="2"/>
      <c r="C41" s="8">
        <v>0.02</v>
      </c>
      <c r="D41" s="8">
        <v>0.02</v>
      </c>
      <c r="E41" s="8">
        <v>0.02</v>
      </c>
      <c r="F41" s="8">
        <v>0.02</v>
      </c>
      <c r="G41" s="8">
        <v>0.02</v>
      </c>
      <c r="H41" s="8">
        <v>0.02</v>
      </c>
      <c r="I41" s="8">
        <v>0.02</v>
      </c>
      <c r="J41" s="8">
        <v>0.02</v>
      </c>
      <c r="K41" s="8">
        <v>0.02</v>
      </c>
      <c r="L41" s="8">
        <v>0.02</v>
      </c>
      <c r="M41" s="8">
        <v>0.02</v>
      </c>
      <c r="N41" s="14"/>
    </row>
    <row r="42" spans="1:15" ht="12" customHeight="1" x14ac:dyDescent="0.2">
      <c r="A42" s="2" t="s">
        <v>76</v>
      </c>
      <c r="B42" s="2"/>
      <c r="C42" s="8">
        <v>0.1</v>
      </c>
      <c r="D42" s="8">
        <v>0.1</v>
      </c>
      <c r="E42" s="8">
        <v>0.1</v>
      </c>
      <c r="F42" s="8">
        <v>0.1</v>
      </c>
      <c r="G42" s="8">
        <v>0.1</v>
      </c>
      <c r="H42" s="8">
        <v>0.1</v>
      </c>
      <c r="I42" s="8">
        <v>0.1</v>
      </c>
      <c r="J42" s="8">
        <v>0.1</v>
      </c>
      <c r="K42" s="8">
        <v>0.1</v>
      </c>
      <c r="L42" s="8">
        <v>0.1</v>
      </c>
      <c r="M42" s="8">
        <v>0.1</v>
      </c>
      <c r="N42" s="14"/>
    </row>
    <row r="43" spans="1:15" ht="12" customHeight="1" x14ac:dyDescent="0.2">
      <c r="A43" s="2" t="s">
        <v>77</v>
      </c>
      <c r="B43" s="2"/>
      <c r="C43" s="8">
        <v>0.03</v>
      </c>
      <c r="D43" s="8">
        <v>0.03</v>
      </c>
      <c r="E43" s="8">
        <v>0.03</v>
      </c>
      <c r="F43" s="8">
        <v>0.03</v>
      </c>
      <c r="G43" s="8">
        <v>0.03</v>
      </c>
      <c r="H43" s="8">
        <v>0.03</v>
      </c>
      <c r="I43" s="8">
        <v>0.03</v>
      </c>
      <c r="J43" s="8">
        <v>0.03</v>
      </c>
      <c r="K43" s="8">
        <v>0.03</v>
      </c>
      <c r="L43" s="8">
        <v>0.03</v>
      </c>
      <c r="M43" s="8">
        <v>0.03</v>
      </c>
      <c r="N43" s="14"/>
    </row>
    <row r="44" spans="1:15" ht="12" customHeight="1" x14ac:dyDescent="0.2">
      <c r="A44" s="183" t="s">
        <v>30</v>
      </c>
      <c r="B44" s="183"/>
      <c r="C44" s="8">
        <v>0.2</v>
      </c>
      <c r="D44" s="8">
        <v>0.15</v>
      </c>
      <c r="E44" s="8">
        <v>0.05</v>
      </c>
      <c r="F44" s="8">
        <v>0.05</v>
      </c>
      <c r="G44" s="8">
        <v>0.05</v>
      </c>
      <c r="H44" s="8">
        <v>0.05</v>
      </c>
      <c r="I44" s="8">
        <v>0.05</v>
      </c>
      <c r="J44" s="8">
        <v>0.05</v>
      </c>
      <c r="K44" s="8">
        <v>0.05</v>
      </c>
      <c r="L44" s="8">
        <v>0.05</v>
      </c>
      <c r="M44" s="8">
        <v>0.05</v>
      </c>
      <c r="N44" s="14"/>
    </row>
    <row r="45" spans="1:15" ht="12" customHeight="1" x14ac:dyDescent="0.2">
      <c r="A45" s="183" t="s">
        <v>33</v>
      </c>
      <c r="B45" s="183"/>
      <c r="C45" s="8">
        <v>0.1</v>
      </c>
      <c r="D45" s="8">
        <v>0.05</v>
      </c>
      <c r="E45" s="8">
        <v>3.5000000000000003E-2</v>
      </c>
      <c r="F45" s="8">
        <v>0.02</v>
      </c>
      <c r="G45" s="8">
        <v>0.02</v>
      </c>
      <c r="H45" s="8">
        <v>0.02</v>
      </c>
      <c r="I45" s="8">
        <v>0.02</v>
      </c>
      <c r="J45" s="8">
        <v>0.02</v>
      </c>
      <c r="K45" s="8">
        <v>0.02</v>
      </c>
      <c r="L45" s="8">
        <v>0.02</v>
      </c>
      <c r="M45" s="8">
        <v>0.02</v>
      </c>
      <c r="N45" s="14"/>
    </row>
    <row r="46" spans="1:15" ht="12" customHeight="1" x14ac:dyDescent="0.2">
      <c r="A46" s="183" t="s">
        <v>63</v>
      </c>
      <c r="B46" s="183"/>
      <c r="C46" s="8">
        <v>0.03</v>
      </c>
      <c r="D46" s="8">
        <v>0.03</v>
      </c>
      <c r="E46" s="8">
        <v>0.03</v>
      </c>
      <c r="F46" s="8">
        <v>0.03</v>
      </c>
      <c r="G46" s="8">
        <v>0.03</v>
      </c>
      <c r="H46" s="8">
        <v>0.03</v>
      </c>
      <c r="I46" s="8">
        <v>0.03</v>
      </c>
      <c r="J46" s="8">
        <v>0.03</v>
      </c>
      <c r="K46" s="8">
        <v>0.03</v>
      </c>
      <c r="L46" s="8">
        <v>0.03</v>
      </c>
      <c r="M46" s="8">
        <v>0.03</v>
      </c>
      <c r="N46" s="14"/>
    </row>
    <row r="47" spans="1:15" ht="12" customHeight="1" x14ac:dyDescent="0.2">
      <c r="A47" s="183" t="s">
        <v>64</v>
      </c>
      <c r="B47" s="183"/>
      <c r="C47" s="8">
        <v>0.02</v>
      </c>
      <c r="D47" s="8">
        <v>0.02</v>
      </c>
      <c r="E47" s="8">
        <v>0.02</v>
      </c>
      <c r="F47" s="8">
        <v>0.02</v>
      </c>
      <c r="G47" s="8">
        <v>0.02</v>
      </c>
      <c r="H47" s="8">
        <v>0.02</v>
      </c>
      <c r="I47" s="8">
        <v>0.02</v>
      </c>
      <c r="J47" s="8">
        <v>0.02</v>
      </c>
      <c r="K47" s="8">
        <v>0.02</v>
      </c>
      <c r="L47" s="8">
        <v>0.02</v>
      </c>
      <c r="M47" s="8">
        <v>0.02</v>
      </c>
      <c r="N47" s="14"/>
    </row>
    <row r="48" spans="1:15" ht="12" customHeight="1" x14ac:dyDescent="0.2">
      <c r="A48" s="183" t="s">
        <v>65</v>
      </c>
      <c r="B48" s="183"/>
      <c r="C48" s="8">
        <v>0.03</v>
      </c>
      <c r="D48" s="8">
        <v>0.03</v>
      </c>
      <c r="E48" s="8">
        <v>0.03</v>
      </c>
      <c r="F48" s="8">
        <v>0.03</v>
      </c>
      <c r="G48" s="8">
        <v>0.03</v>
      </c>
      <c r="H48" s="8">
        <v>0.03</v>
      </c>
      <c r="I48" s="8">
        <v>0.03</v>
      </c>
      <c r="J48" s="8">
        <v>0.03</v>
      </c>
      <c r="K48" s="8">
        <v>0.03</v>
      </c>
      <c r="L48" s="8">
        <v>0.03</v>
      </c>
      <c r="M48" s="8">
        <v>0.03</v>
      </c>
      <c r="N48" s="14"/>
    </row>
    <row r="49" spans="1:14" ht="12" customHeight="1" x14ac:dyDescent="0.2">
      <c r="A49" s="183" t="s">
        <v>66</v>
      </c>
      <c r="B49" s="183"/>
      <c r="C49" s="8">
        <v>0.03</v>
      </c>
      <c r="D49" s="8">
        <v>0.03</v>
      </c>
      <c r="E49" s="8">
        <v>0.03</v>
      </c>
      <c r="F49" s="8">
        <v>0.03</v>
      </c>
      <c r="G49" s="8">
        <v>0.03</v>
      </c>
      <c r="H49" s="8">
        <v>0.03</v>
      </c>
      <c r="I49" s="8">
        <v>0.03</v>
      </c>
      <c r="J49" s="8">
        <v>0.03</v>
      </c>
      <c r="K49" s="8">
        <v>0.03</v>
      </c>
      <c r="L49" s="8">
        <v>0.03</v>
      </c>
      <c r="M49" s="8">
        <v>0.03</v>
      </c>
      <c r="N49" s="14"/>
    </row>
    <row r="50" spans="1:14" ht="12" customHeight="1" x14ac:dyDescent="0.2">
      <c r="A50" s="194" t="s">
        <v>67</v>
      </c>
      <c r="B50" s="194"/>
      <c r="C50" s="8">
        <v>0.03</v>
      </c>
      <c r="D50" s="8">
        <v>0.03</v>
      </c>
      <c r="E50" s="8">
        <v>0.03</v>
      </c>
      <c r="F50" s="8">
        <v>0.03</v>
      </c>
      <c r="G50" s="8">
        <v>0.03</v>
      </c>
      <c r="H50" s="8">
        <v>0.03</v>
      </c>
      <c r="I50" s="8">
        <v>0.03</v>
      </c>
      <c r="J50" s="8">
        <v>0.03</v>
      </c>
      <c r="K50" s="8">
        <v>0.03</v>
      </c>
      <c r="L50" s="8">
        <v>0.03</v>
      </c>
      <c r="M50" s="8">
        <v>0.03</v>
      </c>
      <c r="N50" s="14"/>
    </row>
    <row r="51" spans="1:14" ht="12" customHeight="1" x14ac:dyDescent="0.2">
      <c r="A51" s="183" t="s">
        <v>68</v>
      </c>
      <c r="B51" s="194"/>
      <c r="C51" s="8">
        <v>0.03</v>
      </c>
      <c r="D51" s="8">
        <v>0.03</v>
      </c>
      <c r="E51" s="8">
        <v>0.03</v>
      </c>
      <c r="F51" s="8">
        <v>0.03</v>
      </c>
      <c r="G51" s="8">
        <v>0.03</v>
      </c>
      <c r="H51" s="8">
        <v>0.03</v>
      </c>
      <c r="I51" s="8">
        <v>0.03</v>
      </c>
      <c r="J51" s="8">
        <v>0.03</v>
      </c>
      <c r="K51" s="8">
        <v>0.03</v>
      </c>
      <c r="L51" s="8">
        <v>0.03</v>
      </c>
      <c r="M51" s="8">
        <v>0.03</v>
      </c>
      <c r="N51" s="14"/>
    </row>
    <row r="52" spans="1:14" ht="12" customHeight="1" x14ac:dyDescent="0.2">
      <c r="A52" s="195" t="s">
        <v>69</v>
      </c>
      <c r="B52" s="195"/>
      <c r="C52" s="9">
        <v>200</v>
      </c>
      <c r="D52" s="9">
        <v>204</v>
      </c>
      <c r="E52" s="9">
        <v>208</v>
      </c>
      <c r="F52" s="9">
        <v>212</v>
      </c>
      <c r="G52" s="9">
        <v>216</v>
      </c>
      <c r="H52" s="9">
        <v>221</v>
      </c>
      <c r="I52" s="9">
        <v>225</v>
      </c>
      <c r="J52" s="9">
        <v>230</v>
      </c>
      <c r="K52" s="9">
        <v>234</v>
      </c>
      <c r="L52" s="9">
        <v>239</v>
      </c>
      <c r="M52" s="9">
        <v>244</v>
      </c>
      <c r="N52" s="14"/>
    </row>
    <row r="53" spans="1:14" ht="12" customHeight="1" x14ac:dyDescent="0.2">
      <c r="A53" s="193" t="s">
        <v>70</v>
      </c>
      <c r="B53" s="193"/>
      <c r="C53" s="10">
        <v>50000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4"/>
    </row>
    <row r="54" spans="1:14" ht="12" customHeight="1" x14ac:dyDescent="0.2">
      <c r="N54" s="14"/>
    </row>
    <row r="55" spans="1:14" ht="12" customHeight="1" x14ac:dyDescent="0.2">
      <c r="N55" s="14"/>
    </row>
    <row r="56" spans="1:14" ht="12" customHeight="1" x14ac:dyDescent="0.2">
      <c r="C56" s="12"/>
      <c r="D56" s="12"/>
      <c r="E56" s="12"/>
      <c r="F56" s="12"/>
      <c r="G56" s="12"/>
      <c r="H56" s="12"/>
      <c r="I56" s="12"/>
      <c r="N56" s="14"/>
    </row>
    <row r="57" spans="1:14" ht="12" customHeight="1" x14ac:dyDescent="0.2">
      <c r="C57" s="12"/>
      <c r="N57" s="14"/>
    </row>
    <row r="58" spans="1:14" ht="12" customHeight="1" x14ac:dyDescent="0.2">
      <c r="C58" s="12"/>
      <c r="N58" s="14"/>
    </row>
    <row r="59" spans="1:14" ht="12" customHeight="1" x14ac:dyDescent="0.2">
      <c r="C59" s="12"/>
      <c r="N59" s="14"/>
    </row>
    <row r="60" spans="1:14" ht="12" customHeight="1" x14ac:dyDescent="0.2">
      <c r="C60" s="12"/>
      <c r="N60" s="14"/>
    </row>
    <row r="61" spans="1:14" ht="12" customHeight="1" x14ac:dyDescent="0.2">
      <c r="C61" s="12"/>
      <c r="N61" s="14"/>
    </row>
    <row r="62" spans="1:14" ht="12" customHeight="1" x14ac:dyDescent="0.2">
      <c r="C62" s="12"/>
      <c r="N62" s="14"/>
    </row>
    <row r="63" spans="1:14" ht="12" customHeight="1" x14ac:dyDescent="0.2">
      <c r="N63" s="14"/>
    </row>
    <row r="64" spans="1:14" ht="12" customHeight="1" x14ac:dyDescent="0.2">
      <c r="N64" s="14"/>
    </row>
    <row r="65" spans="14:14" ht="12" customHeight="1" x14ac:dyDescent="0.2">
      <c r="N65" s="14"/>
    </row>
    <row r="66" spans="14:14" ht="12" customHeight="1" x14ac:dyDescent="0.2">
      <c r="N66" s="14"/>
    </row>
    <row r="67" spans="14:14" ht="12" customHeight="1" x14ac:dyDescent="0.2">
      <c r="N67" s="14"/>
    </row>
    <row r="68" spans="14:14" ht="12" customHeight="1" x14ac:dyDescent="0.2">
      <c r="N68" s="14"/>
    </row>
    <row r="69" spans="14:14" ht="12" customHeight="1" x14ac:dyDescent="0.2">
      <c r="N69" s="14"/>
    </row>
    <row r="70" spans="14:14" ht="12" customHeight="1" x14ac:dyDescent="0.2">
      <c r="N70" s="14"/>
    </row>
  </sheetData>
  <mergeCells count="97">
    <mergeCell ref="B27:C27"/>
    <mergeCell ref="B28:C28"/>
    <mergeCell ref="J29:K29"/>
    <mergeCell ref="L29:M29"/>
    <mergeCell ref="B31:C31"/>
    <mergeCell ref="J31:K31"/>
    <mergeCell ref="L31:M31"/>
    <mergeCell ref="B30:C30"/>
    <mergeCell ref="E30:G30"/>
    <mergeCell ref="J30:K30"/>
    <mergeCell ref="L30:M30"/>
    <mergeCell ref="E29:G29"/>
    <mergeCell ref="J32:K32"/>
    <mergeCell ref="L32:M32"/>
    <mergeCell ref="B33:C33"/>
    <mergeCell ref="J33:K33"/>
    <mergeCell ref="L33:M33"/>
    <mergeCell ref="B32:C32"/>
    <mergeCell ref="L23:M23"/>
    <mergeCell ref="L24:M24"/>
    <mergeCell ref="E28:G28"/>
    <mergeCell ref="J28:K28"/>
    <mergeCell ref="L28:M28"/>
    <mergeCell ref="L25:M25"/>
    <mergeCell ref="L26:M26"/>
    <mergeCell ref="E27:G27"/>
    <mergeCell ref="J27:K27"/>
    <mergeCell ref="L27:M27"/>
    <mergeCell ref="L36:M36"/>
    <mergeCell ref="B36:C36"/>
    <mergeCell ref="J34:K34"/>
    <mergeCell ref="J35:K35"/>
    <mergeCell ref="B34:C34"/>
    <mergeCell ref="B35:C35"/>
    <mergeCell ref="E35:G35"/>
    <mergeCell ref="E34:G34"/>
    <mergeCell ref="L34:M34"/>
    <mergeCell ref="L35:M35"/>
    <mergeCell ref="A53:B53"/>
    <mergeCell ref="J36:K36"/>
    <mergeCell ref="A50:B50"/>
    <mergeCell ref="A51:B51"/>
    <mergeCell ref="A52:B52"/>
    <mergeCell ref="A46:B46"/>
    <mergeCell ref="E36:G36"/>
    <mergeCell ref="A47:B47"/>
    <mergeCell ref="A48:B48"/>
    <mergeCell ref="A49:B49"/>
    <mergeCell ref="A38:B38"/>
    <mergeCell ref="A39:B39"/>
    <mergeCell ref="A40:B40"/>
    <mergeCell ref="A44:B44"/>
    <mergeCell ref="A45:B45"/>
    <mergeCell ref="B23:C23"/>
    <mergeCell ref="E23:G23"/>
    <mergeCell ref="J23:K23"/>
    <mergeCell ref="E26:G26"/>
    <mergeCell ref="J26:K26"/>
    <mergeCell ref="B25:C25"/>
    <mergeCell ref="E24:G24"/>
    <mergeCell ref="J24:K24"/>
    <mergeCell ref="E25:G25"/>
    <mergeCell ref="J25:K25"/>
    <mergeCell ref="B24:C24"/>
    <mergeCell ref="B26:C26"/>
    <mergeCell ref="B21:C21"/>
    <mergeCell ref="E21:G21"/>
    <mergeCell ref="J21:K21"/>
    <mergeCell ref="L21:M21"/>
    <mergeCell ref="B22:C22"/>
    <mergeCell ref="E22:G22"/>
    <mergeCell ref="J22:K22"/>
    <mergeCell ref="L22:M22"/>
    <mergeCell ref="B19:C19"/>
    <mergeCell ref="E19:G19"/>
    <mergeCell ref="J19:K19"/>
    <mergeCell ref="L19:M19"/>
    <mergeCell ref="B20:C20"/>
    <mergeCell ref="E20:G20"/>
    <mergeCell ref="J20:K20"/>
    <mergeCell ref="L20:M20"/>
    <mergeCell ref="B17:C17"/>
    <mergeCell ref="E17:G17"/>
    <mergeCell ref="J17:K17"/>
    <mergeCell ref="L17:M17"/>
    <mergeCell ref="B18:C18"/>
    <mergeCell ref="E18:G18"/>
    <mergeCell ref="J18:K18"/>
    <mergeCell ref="L18:M18"/>
    <mergeCell ref="A1:M1"/>
    <mergeCell ref="B16:C16"/>
    <mergeCell ref="E16:G16"/>
    <mergeCell ref="J16:K16"/>
    <mergeCell ref="L16:M16"/>
    <mergeCell ref="A7:C7"/>
    <mergeCell ref="E7:M7"/>
    <mergeCell ref="A14:M14"/>
  </mergeCells>
  <pageMargins left="0.7" right="0.7" top="0.75" bottom="0.75" header="0.3" footer="0.3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07D3-4F69-495E-8883-66ED402B574A}">
  <sheetPr>
    <pageSetUpPr fitToPage="1"/>
  </sheetPr>
  <dimension ref="B2:GF197"/>
  <sheetViews>
    <sheetView showGridLines="0" zoomScale="80" zoomScaleNormal="80" workbookViewId="0">
      <pane xSplit="7" ySplit="7" topLeftCell="H57" activePane="bottomRight" state="frozen"/>
      <selection pane="topRight" activeCell="H1" sqref="H1"/>
      <selection pane="bottomLeft" activeCell="A8" sqref="A8"/>
      <selection pane="bottomRight" activeCell="G88" sqref="G88"/>
    </sheetView>
  </sheetViews>
  <sheetFormatPr defaultColWidth="9.140625" defaultRowHeight="12.6" customHeight="1" x14ac:dyDescent="0.2"/>
  <cols>
    <col min="1" max="1" width="9.140625" style="22"/>
    <col min="2" max="2" width="41.5703125" style="22" customWidth="1"/>
    <col min="3" max="3" width="9.140625" style="22"/>
    <col min="4" max="4" width="14.28515625" style="22" bestFit="1" customWidth="1"/>
    <col min="5" max="5" width="9.28515625" style="22" bestFit="1" customWidth="1"/>
    <col min="6" max="6" width="13.5703125" style="22" bestFit="1" customWidth="1"/>
    <col min="7" max="7" width="11.7109375" style="22" bestFit="1" customWidth="1"/>
    <col min="8" max="15" width="10" style="22" bestFit="1" customWidth="1"/>
    <col min="16" max="18" width="10.5703125" style="22" bestFit="1" customWidth="1"/>
    <col min="19" max="19" width="10.7109375" style="22" bestFit="1" customWidth="1"/>
    <col min="20" max="27" width="10" style="22" bestFit="1" customWidth="1"/>
    <col min="28" max="30" width="10.5703125" style="22" bestFit="1" customWidth="1"/>
    <col min="31" max="39" width="10" style="22" bestFit="1" customWidth="1"/>
    <col min="40" max="42" width="10.5703125" style="22" bestFit="1" customWidth="1"/>
    <col min="43" max="51" width="10" style="22" bestFit="1" customWidth="1"/>
    <col min="52" max="54" width="10.28515625" style="22" bestFit="1" customWidth="1"/>
    <col min="55" max="63" width="10" style="22" bestFit="1" customWidth="1"/>
    <col min="64" max="66" width="10.28515625" style="22" bestFit="1" customWidth="1"/>
    <col min="67" max="74" width="10" style="22" bestFit="1" customWidth="1"/>
    <col min="75" max="76" width="11.5703125" style="22" bestFit="1" customWidth="1"/>
    <col min="77" max="78" width="11.28515625" style="22" bestFit="1" customWidth="1"/>
    <col min="79" max="83" width="11.5703125" style="22" bestFit="1" customWidth="1"/>
    <col min="84" max="86" width="11.85546875" style="22" bestFit="1" customWidth="1"/>
    <col min="87" max="88" width="12.140625" style="22" bestFit="1" customWidth="1"/>
    <col min="89" max="89" width="13" style="22" bestFit="1" customWidth="1"/>
    <col min="90" max="90" width="12.7109375" style="22" bestFit="1" customWidth="1"/>
    <col min="91" max="99" width="10" style="85" customWidth="1"/>
    <col min="100" max="102" width="10.28515625" style="85" customWidth="1"/>
    <col min="103" max="103" width="10" style="22" bestFit="1" customWidth="1"/>
    <col min="104" max="16384" width="9.140625" style="22"/>
  </cols>
  <sheetData>
    <row r="2" spans="2:102" ht="12.6" customHeight="1" thickBot="1" x14ac:dyDescent="0.25">
      <c r="B2" s="205" t="s">
        <v>108</v>
      </c>
      <c r="C2" s="206"/>
      <c r="D2" s="206"/>
      <c r="E2" s="206"/>
      <c r="F2" s="206"/>
      <c r="G2" s="205"/>
      <c r="H2" s="206"/>
      <c r="I2" s="206"/>
      <c r="J2" s="205"/>
      <c r="K2" s="206"/>
      <c r="L2" s="206"/>
      <c r="M2" s="205"/>
      <c r="N2" s="206"/>
      <c r="O2" s="206"/>
      <c r="P2" s="205"/>
      <c r="Q2" s="206"/>
      <c r="R2" s="206"/>
      <c r="S2" s="205"/>
      <c r="T2" s="206"/>
      <c r="U2" s="206"/>
      <c r="V2" s="205"/>
      <c r="W2" s="206"/>
      <c r="X2" s="206"/>
      <c r="Y2" s="205"/>
      <c r="Z2" s="206"/>
      <c r="AA2" s="206"/>
      <c r="AB2" s="205"/>
      <c r="AC2" s="206"/>
      <c r="AD2" s="206"/>
      <c r="AE2" s="205"/>
      <c r="AF2" s="206"/>
      <c r="AG2" s="206"/>
      <c r="AH2" s="205"/>
      <c r="AI2" s="206"/>
      <c r="AJ2" s="206"/>
      <c r="AK2" s="205"/>
      <c r="AL2" s="206"/>
      <c r="AM2" s="206"/>
      <c r="AN2" s="205"/>
      <c r="AO2" s="206"/>
      <c r="AP2" s="206"/>
      <c r="AQ2" s="205"/>
      <c r="AR2" s="206"/>
      <c r="AS2" s="206"/>
      <c r="AT2" s="205"/>
      <c r="AU2" s="206"/>
      <c r="AV2" s="206"/>
      <c r="AW2" s="205"/>
      <c r="AX2" s="206"/>
      <c r="AY2" s="206"/>
      <c r="AZ2" s="205"/>
      <c r="BA2" s="206"/>
      <c r="BB2" s="206"/>
      <c r="BC2" s="205"/>
      <c r="BD2" s="206"/>
      <c r="BE2" s="206"/>
      <c r="BF2" s="205"/>
      <c r="BG2" s="206"/>
      <c r="BH2" s="206"/>
      <c r="BI2" s="205"/>
      <c r="BJ2" s="206"/>
      <c r="BK2" s="206"/>
      <c r="BL2" s="205"/>
      <c r="BM2" s="206"/>
      <c r="BN2" s="206"/>
      <c r="BO2" s="205"/>
      <c r="BP2" s="206"/>
      <c r="BQ2" s="206"/>
      <c r="BR2" s="205"/>
      <c r="BS2" s="206"/>
      <c r="BT2" s="206"/>
      <c r="BU2" s="205"/>
      <c r="BV2" s="206"/>
      <c r="BW2" s="206"/>
      <c r="BX2" s="205"/>
      <c r="BY2" s="206"/>
      <c r="BZ2" s="206"/>
      <c r="CA2" s="205"/>
      <c r="CB2" s="206"/>
      <c r="CC2" s="206"/>
      <c r="CD2" s="205"/>
      <c r="CE2" s="206"/>
      <c r="CF2" s="206"/>
      <c r="CG2" s="205"/>
      <c r="CH2" s="206"/>
      <c r="CI2" s="206"/>
      <c r="CJ2" s="205"/>
      <c r="CK2" s="206"/>
      <c r="CL2" s="206"/>
      <c r="CM2" s="203"/>
      <c r="CN2" s="204"/>
      <c r="CO2" s="204"/>
      <c r="CP2" s="203"/>
      <c r="CQ2" s="204"/>
      <c r="CR2" s="204"/>
      <c r="CS2" s="203"/>
      <c r="CT2" s="204"/>
      <c r="CU2" s="204"/>
      <c r="CV2" s="203"/>
      <c r="CW2" s="204"/>
      <c r="CX2" s="204"/>
    </row>
    <row r="3" spans="2:102" ht="12.6" customHeight="1" x14ac:dyDescent="0.2">
      <c r="B3" s="48" t="s">
        <v>86</v>
      </c>
      <c r="C3" s="49"/>
      <c r="D3" s="50">
        <f>Assumptions!B31</f>
        <v>46023</v>
      </c>
    </row>
    <row r="4" spans="2:102" ht="12.6" customHeight="1" x14ac:dyDescent="0.2">
      <c r="B4" s="51" t="s">
        <v>87</v>
      </c>
      <c r="C4" s="24"/>
      <c r="D4" s="52">
        <v>48579</v>
      </c>
    </row>
    <row r="5" spans="2:102" ht="12.6" customHeight="1" x14ac:dyDescent="0.2">
      <c r="B5" s="51" t="s">
        <v>34</v>
      </c>
      <c r="C5" s="24"/>
      <c r="D5" s="53">
        <f>Assumptions!B23</f>
        <v>300</v>
      </c>
      <c r="F5" s="39">
        <v>0</v>
      </c>
      <c r="G5" s="39">
        <f>$F$5+1</f>
        <v>1</v>
      </c>
      <c r="H5" s="39">
        <f t="shared" ref="H5:R5" si="0">$F$5+1</f>
        <v>1</v>
      </c>
      <c r="I5" s="39">
        <f t="shared" si="0"/>
        <v>1</v>
      </c>
      <c r="J5" s="39">
        <f t="shared" si="0"/>
        <v>1</v>
      </c>
      <c r="K5" s="39">
        <f t="shared" si="0"/>
        <v>1</v>
      </c>
      <c r="L5" s="39">
        <f t="shared" si="0"/>
        <v>1</v>
      </c>
      <c r="M5" s="39">
        <f t="shared" si="0"/>
        <v>1</v>
      </c>
      <c r="N5" s="39">
        <f t="shared" si="0"/>
        <v>1</v>
      </c>
      <c r="O5" s="39">
        <f t="shared" si="0"/>
        <v>1</v>
      </c>
      <c r="P5" s="39">
        <f t="shared" si="0"/>
        <v>1</v>
      </c>
      <c r="Q5" s="39">
        <f t="shared" si="0"/>
        <v>1</v>
      </c>
      <c r="R5" s="39">
        <f t="shared" si="0"/>
        <v>1</v>
      </c>
      <c r="S5" s="39">
        <f>G5+1</f>
        <v>2</v>
      </c>
      <c r="T5" s="39">
        <f t="shared" ref="T5:AD5" si="1">H5+1</f>
        <v>2</v>
      </c>
      <c r="U5" s="39">
        <f t="shared" si="1"/>
        <v>2</v>
      </c>
      <c r="V5" s="39">
        <f t="shared" si="1"/>
        <v>2</v>
      </c>
      <c r="W5" s="39">
        <f t="shared" si="1"/>
        <v>2</v>
      </c>
      <c r="X5" s="39">
        <f t="shared" si="1"/>
        <v>2</v>
      </c>
      <c r="Y5" s="39">
        <f t="shared" si="1"/>
        <v>2</v>
      </c>
      <c r="Z5" s="39">
        <f t="shared" si="1"/>
        <v>2</v>
      </c>
      <c r="AA5" s="39">
        <f t="shared" si="1"/>
        <v>2</v>
      </c>
      <c r="AB5" s="39">
        <f t="shared" si="1"/>
        <v>2</v>
      </c>
      <c r="AC5" s="39">
        <f t="shared" si="1"/>
        <v>2</v>
      </c>
      <c r="AD5" s="39">
        <f t="shared" si="1"/>
        <v>2</v>
      </c>
      <c r="AE5" s="39">
        <f>S5+1</f>
        <v>3</v>
      </c>
      <c r="AF5" s="39">
        <f t="shared" ref="AF5:AP5" si="2">T5+1</f>
        <v>3</v>
      </c>
      <c r="AG5" s="39">
        <f t="shared" si="2"/>
        <v>3</v>
      </c>
      <c r="AH5" s="39">
        <f t="shared" si="2"/>
        <v>3</v>
      </c>
      <c r="AI5" s="39">
        <f t="shared" si="2"/>
        <v>3</v>
      </c>
      <c r="AJ5" s="39">
        <f t="shared" si="2"/>
        <v>3</v>
      </c>
      <c r="AK5" s="39">
        <f t="shared" si="2"/>
        <v>3</v>
      </c>
      <c r="AL5" s="39">
        <f t="shared" si="2"/>
        <v>3</v>
      </c>
      <c r="AM5" s="39">
        <f t="shared" si="2"/>
        <v>3</v>
      </c>
      <c r="AN5" s="39">
        <f t="shared" si="2"/>
        <v>3</v>
      </c>
      <c r="AO5" s="39">
        <f t="shared" si="2"/>
        <v>3</v>
      </c>
      <c r="AP5" s="39">
        <f t="shared" si="2"/>
        <v>3</v>
      </c>
      <c r="AQ5" s="39">
        <f>AE5+1</f>
        <v>4</v>
      </c>
      <c r="AR5" s="39">
        <f t="shared" ref="AR5:BB5" si="3">AF5+1</f>
        <v>4</v>
      </c>
      <c r="AS5" s="39">
        <f t="shared" si="3"/>
        <v>4</v>
      </c>
      <c r="AT5" s="39">
        <f t="shared" si="3"/>
        <v>4</v>
      </c>
      <c r="AU5" s="39">
        <f t="shared" si="3"/>
        <v>4</v>
      </c>
      <c r="AV5" s="39">
        <f t="shared" si="3"/>
        <v>4</v>
      </c>
      <c r="AW5" s="39">
        <f t="shared" si="3"/>
        <v>4</v>
      </c>
      <c r="AX5" s="39">
        <f t="shared" si="3"/>
        <v>4</v>
      </c>
      <c r="AY5" s="39">
        <f t="shared" si="3"/>
        <v>4</v>
      </c>
      <c r="AZ5" s="39">
        <f t="shared" si="3"/>
        <v>4</v>
      </c>
      <c r="BA5" s="39">
        <f t="shared" si="3"/>
        <v>4</v>
      </c>
      <c r="BB5" s="39">
        <f t="shared" si="3"/>
        <v>4</v>
      </c>
      <c r="BC5" s="39">
        <f>AQ5+1</f>
        <v>5</v>
      </c>
      <c r="BD5" s="39">
        <f t="shared" ref="BD5:CX5" si="4">AR5+1</f>
        <v>5</v>
      </c>
      <c r="BE5" s="39">
        <f t="shared" si="4"/>
        <v>5</v>
      </c>
      <c r="BF5" s="39">
        <f t="shared" si="4"/>
        <v>5</v>
      </c>
      <c r="BG5" s="39">
        <f t="shared" si="4"/>
        <v>5</v>
      </c>
      <c r="BH5" s="39">
        <f t="shared" si="4"/>
        <v>5</v>
      </c>
      <c r="BI5" s="39">
        <f t="shared" si="4"/>
        <v>5</v>
      </c>
      <c r="BJ5" s="39">
        <f t="shared" si="4"/>
        <v>5</v>
      </c>
      <c r="BK5" s="39">
        <f t="shared" si="4"/>
        <v>5</v>
      </c>
      <c r="BL5" s="39">
        <f t="shared" si="4"/>
        <v>5</v>
      </c>
      <c r="BM5" s="39">
        <f t="shared" si="4"/>
        <v>5</v>
      </c>
      <c r="BN5" s="39">
        <f t="shared" si="4"/>
        <v>5</v>
      </c>
      <c r="BO5" s="39">
        <f t="shared" si="4"/>
        <v>6</v>
      </c>
      <c r="BP5" s="39">
        <f t="shared" si="4"/>
        <v>6</v>
      </c>
      <c r="BQ5" s="39">
        <f t="shared" si="4"/>
        <v>6</v>
      </c>
      <c r="BR5" s="39">
        <f t="shared" si="4"/>
        <v>6</v>
      </c>
      <c r="BS5" s="39">
        <f t="shared" si="4"/>
        <v>6</v>
      </c>
      <c r="BT5" s="39">
        <f t="shared" si="4"/>
        <v>6</v>
      </c>
      <c r="BU5" s="39">
        <f t="shared" si="4"/>
        <v>6</v>
      </c>
      <c r="BV5" s="39">
        <f t="shared" si="4"/>
        <v>6</v>
      </c>
      <c r="BW5" s="39">
        <f t="shared" si="4"/>
        <v>6</v>
      </c>
      <c r="BX5" s="39">
        <f t="shared" si="4"/>
        <v>6</v>
      </c>
      <c r="BY5" s="39">
        <f t="shared" si="4"/>
        <v>6</v>
      </c>
      <c r="BZ5" s="39">
        <f t="shared" si="4"/>
        <v>6</v>
      </c>
      <c r="CA5" s="39">
        <f t="shared" si="4"/>
        <v>7</v>
      </c>
      <c r="CB5" s="39">
        <f t="shared" si="4"/>
        <v>7</v>
      </c>
      <c r="CC5" s="39">
        <f t="shared" si="4"/>
        <v>7</v>
      </c>
      <c r="CD5" s="39">
        <f t="shared" si="4"/>
        <v>7</v>
      </c>
      <c r="CE5" s="39">
        <f t="shared" si="4"/>
        <v>7</v>
      </c>
      <c r="CF5" s="39">
        <f t="shared" si="4"/>
        <v>7</v>
      </c>
      <c r="CG5" s="39">
        <f t="shared" si="4"/>
        <v>7</v>
      </c>
      <c r="CH5" s="39">
        <f t="shared" si="4"/>
        <v>7</v>
      </c>
      <c r="CI5" s="39">
        <f t="shared" si="4"/>
        <v>7</v>
      </c>
      <c r="CJ5" s="39">
        <f t="shared" si="4"/>
        <v>7</v>
      </c>
      <c r="CK5" s="39">
        <f t="shared" si="4"/>
        <v>7</v>
      </c>
      <c r="CL5" s="39">
        <f t="shared" si="4"/>
        <v>7</v>
      </c>
      <c r="CM5" s="118">
        <f t="shared" si="4"/>
        <v>8</v>
      </c>
      <c r="CN5" s="118">
        <f t="shared" si="4"/>
        <v>8</v>
      </c>
      <c r="CO5" s="118">
        <f t="shared" si="4"/>
        <v>8</v>
      </c>
      <c r="CP5" s="118">
        <f t="shared" si="4"/>
        <v>8</v>
      </c>
      <c r="CQ5" s="118">
        <f t="shared" si="4"/>
        <v>8</v>
      </c>
      <c r="CR5" s="118">
        <f t="shared" si="4"/>
        <v>8</v>
      </c>
      <c r="CS5" s="118">
        <f t="shared" si="4"/>
        <v>8</v>
      </c>
      <c r="CT5" s="118">
        <f t="shared" si="4"/>
        <v>8</v>
      </c>
      <c r="CU5" s="118">
        <f t="shared" si="4"/>
        <v>8</v>
      </c>
      <c r="CV5" s="118">
        <f t="shared" si="4"/>
        <v>8</v>
      </c>
      <c r="CW5" s="118">
        <f t="shared" si="4"/>
        <v>8</v>
      </c>
      <c r="CX5" s="118">
        <f t="shared" si="4"/>
        <v>8</v>
      </c>
    </row>
    <row r="6" spans="2:102" ht="12.6" customHeight="1" x14ac:dyDescent="0.2">
      <c r="B6" s="51" t="s">
        <v>78</v>
      </c>
      <c r="C6" s="24"/>
      <c r="D6" s="53">
        <f>Assumptions!B24</f>
        <v>3750</v>
      </c>
      <c r="F6" s="25">
        <v>0</v>
      </c>
      <c r="G6" s="25">
        <f>F6+1</f>
        <v>1</v>
      </c>
      <c r="H6" s="25">
        <f t="shared" ref="H6:BS6" si="5">G6+1</f>
        <v>2</v>
      </c>
      <c r="I6" s="25">
        <f t="shared" si="5"/>
        <v>3</v>
      </c>
      <c r="J6" s="25">
        <f t="shared" si="5"/>
        <v>4</v>
      </c>
      <c r="K6" s="25">
        <f t="shared" si="5"/>
        <v>5</v>
      </c>
      <c r="L6" s="25">
        <f t="shared" si="5"/>
        <v>6</v>
      </c>
      <c r="M6" s="25">
        <f t="shared" si="5"/>
        <v>7</v>
      </c>
      <c r="N6" s="25">
        <f t="shared" si="5"/>
        <v>8</v>
      </c>
      <c r="O6" s="25">
        <f t="shared" si="5"/>
        <v>9</v>
      </c>
      <c r="P6" s="25">
        <f t="shared" si="5"/>
        <v>10</v>
      </c>
      <c r="Q6" s="25">
        <f t="shared" si="5"/>
        <v>11</v>
      </c>
      <c r="R6" s="25">
        <f t="shared" si="5"/>
        <v>12</v>
      </c>
      <c r="S6" s="25">
        <f t="shared" si="5"/>
        <v>13</v>
      </c>
      <c r="T6" s="25">
        <f t="shared" si="5"/>
        <v>14</v>
      </c>
      <c r="U6" s="25">
        <f t="shared" si="5"/>
        <v>15</v>
      </c>
      <c r="V6" s="25">
        <f t="shared" si="5"/>
        <v>16</v>
      </c>
      <c r="W6" s="25">
        <f t="shared" si="5"/>
        <v>17</v>
      </c>
      <c r="X6" s="25">
        <f t="shared" si="5"/>
        <v>18</v>
      </c>
      <c r="Y6" s="25">
        <f t="shared" si="5"/>
        <v>19</v>
      </c>
      <c r="Z6" s="25">
        <f t="shared" si="5"/>
        <v>20</v>
      </c>
      <c r="AA6" s="25">
        <f t="shared" si="5"/>
        <v>21</v>
      </c>
      <c r="AB6" s="25">
        <f t="shared" si="5"/>
        <v>22</v>
      </c>
      <c r="AC6" s="25">
        <f t="shared" si="5"/>
        <v>23</v>
      </c>
      <c r="AD6" s="25">
        <f t="shared" si="5"/>
        <v>24</v>
      </c>
      <c r="AE6" s="25">
        <f t="shared" si="5"/>
        <v>25</v>
      </c>
      <c r="AF6" s="25">
        <f t="shared" si="5"/>
        <v>26</v>
      </c>
      <c r="AG6" s="25">
        <f t="shared" si="5"/>
        <v>27</v>
      </c>
      <c r="AH6" s="25">
        <f t="shared" si="5"/>
        <v>28</v>
      </c>
      <c r="AI6" s="25">
        <f t="shared" si="5"/>
        <v>29</v>
      </c>
      <c r="AJ6" s="25">
        <f t="shared" si="5"/>
        <v>30</v>
      </c>
      <c r="AK6" s="25">
        <f t="shared" si="5"/>
        <v>31</v>
      </c>
      <c r="AL6" s="25">
        <f t="shared" si="5"/>
        <v>32</v>
      </c>
      <c r="AM6" s="25">
        <f t="shared" si="5"/>
        <v>33</v>
      </c>
      <c r="AN6" s="25">
        <f t="shared" si="5"/>
        <v>34</v>
      </c>
      <c r="AO6" s="25">
        <f t="shared" si="5"/>
        <v>35</v>
      </c>
      <c r="AP6" s="25">
        <f t="shared" si="5"/>
        <v>36</v>
      </c>
      <c r="AQ6" s="25">
        <f t="shared" si="5"/>
        <v>37</v>
      </c>
      <c r="AR6" s="25">
        <f t="shared" si="5"/>
        <v>38</v>
      </c>
      <c r="AS6" s="25">
        <f t="shared" si="5"/>
        <v>39</v>
      </c>
      <c r="AT6" s="25">
        <f t="shared" si="5"/>
        <v>40</v>
      </c>
      <c r="AU6" s="25">
        <f t="shared" si="5"/>
        <v>41</v>
      </c>
      <c r="AV6" s="25">
        <f t="shared" si="5"/>
        <v>42</v>
      </c>
      <c r="AW6" s="25">
        <f t="shared" si="5"/>
        <v>43</v>
      </c>
      <c r="AX6" s="25">
        <f t="shared" si="5"/>
        <v>44</v>
      </c>
      <c r="AY6" s="25">
        <f t="shared" si="5"/>
        <v>45</v>
      </c>
      <c r="AZ6" s="25">
        <f t="shared" si="5"/>
        <v>46</v>
      </c>
      <c r="BA6" s="25">
        <f t="shared" si="5"/>
        <v>47</v>
      </c>
      <c r="BB6" s="25">
        <f t="shared" si="5"/>
        <v>48</v>
      </c>
      <c r="BC6" s="25">
        <f t="shared" si="5"/>
        <v>49</v>
      </c>
      <c r="BD6" s="25">
        <f t="shared" si="5"/>
        <v>50</v>
      </c>
      <c r="BE6" s="25">
        <f t="shared" si="5"/>
        <v>51</v>
      </c>
      <c r="BF6" s="25">
        <f t="shared" si="5"/>
        <v>52</v>
      </c>
      <c r="BG6" s="25">
        <f t="shared" si="5"/>
        <v>53</v>
      </c>
      <c r="BH6" s="25">
        <f t="shared" si="5"/>
        <v>54</v>
      </c>
      <c r="BI6" s="25">
        <f t="shared" si="5"/>
        <v>55</v>
      </c>
      <c r="BJ6" s="25">
        <f t="shared" si="5"/>
        <v>56</v>
      </c>
      <c r="BK6" s="25">
        <f t="shared" si="5"/>
        <v>57</v>
      </c>
      <c r="BL6" s="25">
        <f t="shared" si="5"/>
        <v>58</v>
      </c>
      <c r="BM6" s="25">
        <f t="shared" si="5"/>
        <v>59</v>
      </c>
      <c r="BN6" s="25">
        <f t="shared" si="5"/>
        <v>60</v>
      </c>
      <c r="BO6" s="25">
        <f t="shared" si="5"/>
        <v>61</v>
      </c>
      <c r="BP6" s="25">
        <f t="shared" si="5"/>
        <v>62</v>
      </c>
      <c r="BQ6" s="25">
        <f t="shared" si="5"/>
        <v>63</v>
      </c>
      <c r="BR6" s="25">
        <f t="shared" si="5"/>
        <v>64</v>
      </c>
      <c r="BS6" s="25">
        <f t="shared" si="5"/>
        <v>65</v>
      </c>
      <c r="BT6" s="25">
        <f t="shared" ref="BT6:CX6" si="6">BS6+1</f>
        <v>66</v>
      </c>
      <c r="BU6" s="25">
        <f t="shared" si="6"/>
        <v>67</v>
      </c>
      <c r="BV6" s="25">
        <f t="shared" si="6"/>
        <v>68</v>
      </c>
      <c r="BW6" s="25">
        <f t="shared" si="6"/>
        <v>69</v>
      </c>
      <c r="BX6" s="25">
        <f t="shared" si="6"/>
        <v>70</v>
      </c>
      <c r="BY6" s="25">
        <f t="shared" si="6"/>
        <v>71</v>
      </c>
      <c r="BZ6" s="25">
        <f t="shared" si="6"/>
        <v>72</v>
      </c>
      <c r="CA6" s="25">
        <f t="shared" si="6"/>
        <v>73</v>
      </c>
      <c r="CB6" s="25">
        <f t="shared" si="6"/>
        <v>74</v>
      </c>
      <c r="CC6" s="25">
        <f t="shared" si="6"/>
        <v>75</v>
      </c>
      <c r="CD6" s="25">
        <f t="shared" si="6"/>
        <v>76</v>
      </c>
      <c r="CE6" s="25">
        <f t="shared" si="6"/>
        <v>77</v>
      </c>
      <c r="CF6" s="25">
        <f t="shared" si="6"/>
        <v>78</v>
      </c>
      <c r="CG6" s="25">
        <f t="shared" si="6"/>
        <v>79</v>
      </c>
      <c r="CH6" s="25">
        <f t="shared" si="6"/>
        <v>80</v>
      </c>
      <c r="CI6" s="25">
        <f t="shared" si="6"/>
        <v>81</v>
      </c>
      <c r="CJ6" s="25">
        <f t="shared" si="6"/>
        <v>82</v>
      </c>
      <c r="CK6" s="25">
        <f t="shared" si="6"/>
        <v>83</v>
      </c>
      <c r="CL6" s="25">
        <f t="shared" si="6"/>
        <v>84</v>
      </c>
      <c r="CM6" s="166">
        <f t="shared" si="6"/>
        <v>85</v>
      </c>
      <c r="CN6" s="166">
        <f t="shared" si="6"/>
        <v>86</v>
      </c>
      <c r="CO6" s="166">
        <f t="shared" si="6"/>
        <v>87</v>
      </c>
      <c r="CP6" s="166">
        <f t="shared" si="6"/>
        <v>88</v>
      </c>
      <c r="CQ6" s="166">
        <f t="shared" si="6"/>
        <v>89</v>
      </c>
      <c r="CR6" s="166">
        <f t="shared" si="6"/>
        <v>90</v>
      </c>
      <c r="CS6" s="166">
        <f t="shared" si="6"/>
        <v>91</v>
      </c>
      <c r="CT6" s="166">
        <f t="shared" si="6"/>
        <v>92</v>
      </c>
      <c r="CU6" s="166">
        <f t="shared" si="6"/>
        <v>93</v>
      </c>
      <c r="CV6" s="166">
        <f t="shared" si="6"/>
        <v>94</v>
      </c>
      <c r="CW6" s="166">
        <f t="shared" si="6"/>
        <v>95</v>
      </c>
      <c r="CX6" s="166">
        <f t="shared" si="6"/>
        <v>96</v>
      </c>
    </row>
    <row r="7" spans="2:102" ht="12.6" customHeight="1" thickBot="1" x14ac:dyDescent="0.25">
      <c r="B7" s="54" t="s">
        <v>77</v>
      </c>
      <c r="C7" s="55"/>
      <c r="D7" s="56">
        <f>Assumptions!B28</f>
        <v>4</v>
      </c>
      <c r="F7" s="27">
        <f>D3</f>
        <v>46023</v>
      </c>
      <c r="G7" s="28">
        <f>EOMONTH(F7,0)</f>
        <v>46053</v>
      </c>
      <c r="H7" s="28">
        <f>EOMONTH(G7,1)</f>
        <v>46081</v>
      </c>
      <c r="I7" s="28">
        <f t="shared" ref="I7:BT7" si="7">EOMONTH(H7,1)</f>
        <v>46112</v>
      </c>
      <c r="J7" s="28">
        <f t="shared" si="7"/>
        <v>46142</v>
      </c>
      <c r="K7" s="28">
        <f t="shared" si="7"/>
        <v>46173</v>
      </c>
      <c r="L7" s="28">
        <f t="shared" si="7"/>
        <v>46203</v>
      </c>
      <c r="M7" s="28">
        <f t="shared" si="7"/>
        <v>46234</v>
      </c>
      <c r="N7" s="28">
        <f t="shared" si="7"/>
        <v>46265</v>
      </c>
      <c r="O7" s="28">
        <f t="shared" si="7"/>
        <v>46295</v>
      </c>
      <c r="P7" s="28">
        <f t="shared" si="7"/>
        <v>46326</v>
      </c>
      <c r="Q7" s="28">
        <f t="shared" si="7"/>
        <v>46356</v>
      </c>
      <c r="R7" s="28">
        <f t="shared" si="7"/>
        <v>46387</v>
      </c>
      <c r="S7" s="28">
        <f t="shared" si="7"/>
        <v>46418</v>
      </c>
      <c r="T7" s="28">
        <f t="shared" si="7"/>
        <v>46446</v>
      </c>
      <c r="U7" s="28">
        <f t="shared" si="7"/>
        <v>46477</v>
      </c>
      <c r="V7" s="28">
        <f t="shared" si="7"/>
        <v>46507</v>
      </c>
      <c r="W7" s="28">
        <f t="shared" si="7"/>
        <v>46538</v>
      </c>
      <c r="X7" s="28">
        <f t="shared" si="7"/>
        <v>46568</v>
      </c>
      <c r="Y7" s="28">
        <f t="shared" si="7"/>
        <v>46599</v>
      </c>
      <c r="Z7" s="28">
        <f t="shared" si="7"/>
        <v>46630</v>
      </c>
      <c r="AA7" s="28">
        <f t="shared" si="7"/>
        <v>46660</v>
      </c>
      <c r="AB7" s="28">
        <f t="shared" si="7"/>
        <v>46691</v>
      </c>
      <c r="AC7" s="28">
        <f t="shared" si="7"/>
        <v>46721</v>
      </c>
      <c r="AD7" s="28">
        <f t="shared" si="7"/>
        <v>46752</v>
      </c>
      <c r="AE7" s="28">
        <f t="shared" si="7"/>
        <v>46783</v>
      </c>
      <c r="AF7" s="28">
        <f t="shared" si="7"/>
        <v>46812</v>
      </c>
      <c r="AG7" s="28">
        <f t="shared" si="7"/>
        <v>46843</v>
      </c>
      <c r="AH7" s="28">
        <f t="shared" si="7"/>
        <v>46873</v>
      </c>
      <c r="AI7" s="28">
        <f t="shared" si="7"/>
        <v>46904</v>
      </c>
      <c r="AJ7" s="28">
        <f t="shared" si="7"/>
        <v>46934</v>
      </c>
      <c r="AK7" s="28">
        <f t="shared" si="7"/>
        <v>46965</v>
      </c>
      <c r="AL7" s="28">
        <f t="shared" si="7"/>
        <v>46996</v>
      </c>
      <c r="AM7" s="28">
        <f t="shared" si="7"/>
        <v>47026</v>
      </c>
      <c r="AN7" s="28">
        <f t="shared" si="7"/>
        <v>47057</v>
      </c>
      <c r="AO7" s="28">
        <f t="shared" si="7"/>
        <v>47087</v>
      </c>
      <c r="AP7" s="28">
        <f t="shared" si="7"/>
        <v>47118</v>
      </c>
      <c r="AQ7" s="28">
        <f t="shared" si="7"/>
        <v>47149</v>
      </c>
      <c r="AR7" s="28">
        <f t="shared" si="7"/>
        <v>47177</v>
      </c>
      <c r="AS7" s="28">
        <f t="shared" si="7"/>
        <v>47208</v>
      </c>
      <c r="AT7" s="28">
        <f t="shared" si="7"/>
        <v>47238</v>
      </c>
      <c r="AU7" s="28">
        <f t="shared" si="7"/>
        <v>47269</v>
      </c>
      <c r="AV7" s="28">
        <f t="shared" si="7"/>
        <v>47299</v>
      </c>
      <c r="AW7" s="28">
        <f t="shared" si="7"/>
        <v>47330</v>
      </c>
      <c r="AX7" s="28">
        <f t="shared" si="7"/>
        <v>47361</v>
      </c>
      <c r="AY7" s="28">
        <f t="shared" si="7"/>
        <v>47391</v>
      </c>
      <c r="AZ7" s="28">
        <f t="shared" si="7"/>
        <v>47422</v>
      </c>
      <c r="BA7" s="28">
        <f t="shared" si="7"/>
        <v>47452</v>
      </c>
      <c r="BB7" s="28">
        <f t="shared" si="7"/>
        <v>47483</v>
      </c>
      <c r="BC7" s="28">
        <f t="shared" si="7"/>
        <v>47514</v>
      </c>
      <c r="BD7" s="28">
        <f t="shared" si="7"/>
        <v>47542</v>
      </c>
      <c r="BE7" s="28">
        <f t="shared" si="7"/>
        <v>47573</v>
      </c>
      <c r="BF7" s="28">
        <f t="shared" si="7"/>
        <v>47603</v>
      </c>
      <c r="BG7" s="28">
        <f t="shared" si="7"/>
        <v>47634</v>
      </c>
      <c r="BH7" s="28">
        <f t="shared" si="7"/>
        <v>47664</v>
      </c>
      <c r="BI7" s="28">
        <f t="shared" si="7"/>
        <v>47695</v>
      </c>
      <c r="BJ7" s="28">
        <f t="shared" si="7"/>
        <v>47726</v>
      </c>
      <c r="BK7" s="28">
        <f t="shared" si="7"/>
        <v>47756</v>
      </c>
      <c r="BL7" s="28">
        <f t="shared" si="7"/>
        <v>47787</v>
      </c>
      <c r="BM7" s="28">
        <f t="shared" si="7"/>
        <v>47817</v>
      </c>
      <c r="BN7" s="28">
        <f t="shared" si="7"/>
        <v>47848</v>
      </c>
      <c r="BO7" s="28">
        <f t="shared" si="7"/>
        <v>47879</v>
      </c>
      <c r="BP7" s="28">
        <f t="shared" si="7"/>
        <v>47907</v>
      </c>
      <c r="BQ7" s="28">
        <f t="shared" si="7"/>
        <v>47938</v>
      </c>
      <c r="BR7" s="28">
        <f t="shared" si="7"/>
        <v>47968</v>
      </c>
      <c r="BS7" s="28">
        <f t="shared" si="7"/>
        <v>47999</v>
      </c>
      <c r="BT7" s="28">
        <f t="shared" si="7"/>
        <v>48029</v>
      </c>
      <c r="BU7" s="28">
        <f t="shared" ref="BU7:CX7" si="8">EOMONTH(BT7,1)</f>
        <v>48060</v>
      </c>
      <c r="BV7" s="28">
        <f t="shared" si="8"/>
        <v>48091</v>
      </c>
      <c r="BW7" s="28">
        <f t="shared" si="8"/>
        <v>48121</v>
      </c>
      <c r="BX7" s="28">
        <f t="shared" si="8"/>
        <v>48152</v>
      </c>
      <c r="BY7" s="28">
        <f t="shared" si="8"/>
        <v>48182</v>
      </c>
      <c r="BZ7" s="28">
        <f t="shared" si="8"/>
        <v>48213</v>
      </c>
      <c r="CA7" s="28">
        <f t="shared" si="8"/>
        <v>48244</v>
      </c>
      <c r="CB7" s="28">
        <f t="shared" si="8"/>
        <v>48273</v>
      </c>
      <c r="CC7" s="28">
        <f t="shared" si="8"/>
        <v>48304</v>
      </c>
      <c r="CD7" s="28">
        <f t="shared" si="8"/>
        <v>48334</v>
      </c>
      <c r="CE7" s="28">
        <f t="shared" si="8"/>
        <v>48365</v>
      </c>
      <c r="CF7" s="28">
        <f t="shared" si="8"/>
        <v>48395</v>
      </c>
      <c r="CG7" s="28">
        <f t="shared" si="8"/>
        <v>48426</v>
      </c>
      <c r="CH7" s="28">
        <f t="shared" si="8"/>
        <v>48457</v>
      </c>
      <c r="CI7" s="28">
        <f t="shared" si="8"/>
        <v>48487</v>
      </c>
      <c r="CJ7" s="28">
        <f t="shared" si="8"/>
        <v>48518</v>
      </c>
      <c r="CK7" s="28">
        <f t="shared" si="8"/>
        <v>48548</v>
      </c>
      <c r="CL7" s="28">
        <f t="shared" si="8"/>
        <v>48579</v>
      </c>
      <c r="CM7" s="167">
        <f t="shared" si="8"/>
        <v>48610</v>
      </c>
      <c r="CN7" s="167">
        <f t="shared" si="8"/>
        <v>48638</v>
      </c>
      <c r="CO7" s="167">
        <f t="shared" si="8"/>
        <v>48669</v>
      </c>
      <c r="CP7" s="167">
        <f t="shared" si="8"/>
        <v>48699</v>
      </c>
      <c r="CQ7" s="167">
        <f t="shared" si="8"/>
        <v>48730</v>
      </c>
      <c r="CR7" s="167">
        <f t="shared" si="8"/>
        <v>48760</v>
      </c>
      <c r="CS7" s="167">
        <f t="shared" si="8"/>
        <v>48791</v>
      </c>
      <c r="CT7" s="167">
        <f t="shared" si="8"/>
        <v>48822</v>
      </c>
      <c r="CU7" s="167">
        <f t="shared" si="8"/>
        <v>48852</v>
      </c>
      <c r="CV7" s="167">
        <f t="shared" si="8"/>
        <v>48883</v>
      </c>
      <c r="CW7" s="167">
        <f t="shared" si="8"/>
        <v>48913</v>
      </c>
      <c r="CX7" s="167">
        <f t="shared" si="8"/>
        <v>48944</v>
      </c>
    </row>
    <row r="8" spans="2:102" ht="12.6" customHeight="1" x14ac:dyDescent="0.2">
      <c r="B8" s="23"/>
      <c r="C8" s="24"/>
      <c r="D8" s="26"/>
      <c r="F8" s="27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167"/>
      <c r="CN8" s="167"/>
      <c r="CO8" s="167"/>
      <c r="CP8" s="167"/>
      <c r="CQ8" s="167"/>
      <c r="CR8" s="167"/>
      <c r="CS8" s="167"/>
      <c r="CT8" s="167"/>
      <c r="CU8" s="167"/>
      <c r="CV8" s="167"/>
      <c r="CW8" s="167"/>
      <c r="CX8" s="167"/>
    </row>
    <row r="9" spans="2:102" ht="12.6" customHeight="1" x14ac:dyDescent="0.2">
      <c r="B9" s="23" t="s">
        <v>92</v>
      </c>
      <c r="D9" s="29">
        <f>Assumptions!B25</f>
        <v>1250</v>
      </c>
      <c r="F9" s="29">
        <f>1250</f>
        <v>1250</v>
      </c>
      <c r="G9" s="29">
        <f t="shared" ref="G9:BR9" si="9">F9*(1+G10)</f>
        <v>1250</v>
      </c>
      <c r="H9" s="29">
        <f t="shared" si="9"/>
        <v>1250</v>
      </c>
      <c r="I9" s="29">
        <f t="shared" si="9"/>
        <v>1250</v>
      </c>
      <c r="J9" s="29">
        <f t="shared" si="9"/>
        <v>1250</v>
      </c>
      <c r="K9" s="29">
        <f t="shared" si="9"/>
        <v>1250</v>
      </c>
      <c r="L9" s="29">
        <f t="shared" si="9"/>
        <v>1250</v>
      </c>
      <c r="M9" s="29">
        <f t="shared" si="9"/>
        <v>1250</v>
      </c>
      <c r="N9" s="29">
        <f t="shared" si="9"/>
        <v>1250</v>
      </c>
      <c r="O9" s="29">
        <f t="shared" si="9"/>
        <v>1250</v>
      </c>
      <c r="P9" s="29">
        <f t="shared" si="9"/>
        <v>1250</v>
      </c>
      <c r="Q9" s="29">
        <f t="shared" si="9"/>
        <v>1250</v>
      </c>
      <c r="R9" s="29">
        <f t="shared" si="9"/>
        <v>1250</v>
      </c>
      <c r="S9" s="29">
        <f t="shared" si="9"/>
        <v>1312.5</v>
      </c>
      <c r="T9" s="29">
        <f>S9*(1+T10)</f>
        <v>1312.5</v>
      </c>
      <c r="U9" s="29">
        <f t="shared" si="9"/>
        <v>1312.5</v>
      </c>
      <c r="V9" s="29">
        <f t="shared" si="9"/>
        <v>1312.5</v>
      </c>
      <c r="W9" s="29">
        <f t="shared" si="9"/>
        <v>1312.5</v>
      </c>
      <c r="X9" s="29">
        <f t="shared" si="9"/>
        <v>1312.5</v>
      </c>
      <c r="Y9" s="29">
        <f t="shared" si="9"/>
        <v>1312.5</v>
      </c>
      <c r="Z9" s="29">
        <f t="shared" si="9"/>
        <v>1312.5</v>
      </c>
      <c r="AA9" s="29">
        <f t="shared" si="9"/>
        <v>1312.5</v>
      </c>
      <c r="AB9" s="29">
        <f t="shared" si="9"/>
        <v>1312.5</v>
      </c>
      <c r="AC9" s="29">
        <f t="shared" si="9"/>
        <v>1312.5</v>
      </c>
      <c r="AD9" s="29">
        <f t="shared" si="9"/>
        <v>1312.5</v>
      </c>
      <c r="AE9" s="29">
        <f t="shared" si="9"/>
        <v>1365</v>
      </c>
      <c r="AF9" s="29">
        <f t="shared" si="9"/>
        <v>1365</v>
      </c>
      <c r="AG9" s="29">
        <f t="shared" si="9"/>
        <v>1365</v>
      </c>
      <c r="AH9" s="29">
        <f t="shared" si="9"/>
        <v>1365</v>
      </c>
      <c r="AI9" s="29">
        <f t="shared" si="9"/>
        <v>1365</v>
      </c>
      <c r="AJ9" s="29">
        <f t="shared" si="9"/>
        <v>1365</v>
      </c>
      <c r="AK9" s="29">
        <f t="shared" si="9"/>
        <v>1365</v>
      </c>
      <c r="AL9" s="29">
        <f t="shared" si="9"/>
        <v>1365</v>
      </c>
      <c r="AM9" s="29">
        <f t="shared" si="9"/>
        <v>1365</v>
      </c>
      <c r="AN9" s="29">
        <f t="shared" si="9"/>
        <v>1365</v>
      </c>
      <c r="AO9" s="29">
        <f t="shared" si="9"/>
        <v>1365</v>
      </c>
      <c r="AP9" s="29">
        <f t="shared" si="9"/>
        <v>1365</v>
      </c>
      <c r="AQ9" s="29">
        <f t="shared" si="9"/>
        <v>1405.95</v>
      </c>
      <c r="AR9" s="29">
        <f t="shared" si="9"/>
        <v>1405.95</v>
      </c>
      <c r="AS9" s="29">
        <f t="shared" si="9"/>
        <v>1405.95</v>
      </c>
      <c r="AT9" s="29">
        <f t="shared" si="9"/>
        <v>1405.95</v>
      </c>
      <c r="AU9" s="29">
        <f t="shared" si="9"/>
        <v>1405.95</v>
      </c>
      <c r="AV9" s="29">
        <f t="shared" si="9"/>
        <v>1405.95</v>
      </c>
      <c r="AW9" s="29">
        <f t="shared" si="9"/>
        <v>1405.95</v>
      </c>
      <c r="AX9" s="29">
        <f t="shared" si="9"/>
        <v>1405.95</v>
      </c>
      <c r="AY9" s="29">
        <f t="shared" si="9"/>
        <v>1405.95</v>
      </c>
      <c r="AZ9" s="29">
        <f t="shared" si="9"/>
        <v>1405.95</v>
      </c>
      <c r="BA9" s="29">
        <f t="shared" si="9"/>
        <v>1405.95</v>
      </c>
      <c r="BB9" s="29">
        <f t="shared" si="9"/>
        <v>1405.95</v>
      </c>
      <c r="BC9" s="29">
        <f t="shared" si="9"/>
        <v>1448.1285</v>
      </c>
      <c r="BD9" s="29">
        <f t="shared" si="9"/>
        <v>1448.1285</v>
      </c>
      <c r="BE9" s="29">
        <f t="shared" si="9"/>
        <v>1448.1285</v>
      </c>
      <c r="BF9" s="29">
        <f t="shared" si="9"/>
        <v>1448.1285</v>
      </c>
      <c r="BG9" s="29">
        <f t="shared" si="9"/>
        <v>1448.1285</v>
      </c>
      <c r="BH9" s="29">
        <f t="shared" si="9"/>
        <v>1448.1285</v>
      </c>
      <c r="BI9" s="29">
        <f t="shared" si="9"/>
        <v>1448.1285</v>
      </c>
      <c r="BJ9" s="29">
        <f t="shared" si="9"/>
        <v>1448.1285</v>
      </c>
      <c r="BK9" s="29">
        <f t="shared" si="9"/>
        <v>1448.1285</v>
      </c>
      <c r="BL9" s="29">
        <f t="shared" si="9"/>
        <v>1448.1285</v>
      </c>
      <c r="BM9" s="29">
        <f t="shared" si="9"/>
        <v>1448.1285</v>
      </c>
      <c r="BN9" s="29">
        <f t="shared" si="9"/>
        <v>1448.1285</v>
      </c>
      <c r="BO9" s="29">
        <f t="shared" si="9"/>
        <v>1491.572355</v>
      </c>
      <c r="BP9" s="29">
        <f t="shared" si="9"/>
        <v>1491.572355</v>
      </c>
      <c r="BQ9" s="29">
        <f t="shared" si="9"/>
        <v>1491.572355</v>
      </c>
      <c r="BR9" s="29">
        <f t="shared" si="9"/>
        <v>1491.572355</v>
      </c>
      <c r="BS9" s="29">
        <f t="shared" ref="BS9:CX9" si="10">BR9*(1+BS10)</f>
        <v>1491.572355</v>
      </c>
      <c r="BT9" s="29">
        <f t="shared" si="10"/>
        <v>1491.572355</v>
      </c>
      <c r="BU9" s="29">
        <f t="shared" si="10"/>
        <v>1491.572355</v>
      </c>
      <c r="BV9" s="29">
        <f t="shared" si="10"/>
        <v>1491.572355</v>
      </c>
      <c r="BW9" s="29">
        <f t="shared" si="10"/>
        <v>1491.572355</v>
      </c>
      <c r="BX9" s="29">
        <f t="shared" si="10"/>
        <v>1491.572355</v>
      </c>
      <c r="BY9" s="29">
        <f t="shared" si="10"/>
        <v>1491.572355</v>
      </c>
      <c r="BZ9" s="29">
        <f t="shared" si="10"/>
        <v>1491.572355</v>
      </c>
      <c r="CA9" s="29">
        <f t="shared" si="10"/>
        <v>1536.3195256500001</v>
      </c>
      <c r="CB9" s="29">
        <f t="shared" si="10"/>
        <v>1536.3195256500001</v>
      </c>
      <c r="CC9" s="29">
        <f t="shared" si="10"/>
        <v>1536.3195256500001</v>
      </c>
      <c r="CD9" s="29">
        <f t="shared" si="10"/>
        <v>1536.3195256500001</v>
      </c>
      <c r="CE9" s="29">
        <f t="shared" si="10"/>
        <v>1536.3195256500001</v>
      </c>
      <c r="CF9" s="29">
        <f t="shared" si="10"/>
        <v>1536.3195256500001</v>
      </c>
      <c r="CG9" s="29">
        <f t="shared" si="10"/>
        <v>1536.3195256500001</v>
      </c>
      <c r="CH9" s="29">
        <f t="shared" si="10"/>
        <v>1536.3195256500001</v>
      </c>
      <c r="CI9" s="29">
        <f t="shared" si="10"/>
        <v>1536.3195256500001</v>
      </c>
      <c r="CJ9" s="29">
        <f t="shared" si="10"/>
        <v>1536.3195256500001</v>
      </c>
      <c r="CK9" s="29">
        <f t="shared" si="10"/>
        <v>1536.3195256500001</v>
      </c>
      <c r="CL9" s="29">
        <f t="shared" si="10"/>
        <v>1536.3195256500001</v>
      </c>
      <c r="CM9" s="81">
        <f t="shared" si="10"/>
        <v>1582.4091114195001</v>
      </c>
      <c r="CN9" s="81">
        <f t="shared" si="10"/>
        <v>1582.4091114195001</v>
      </c>
      <c r="CO9" s="81">
        <f t="shared" si="10"/>
        <v>1582.4091114195001</v>
      </c>
      <c r="CP9" s="81">
        <f t="shared" si="10"/>
        <v>1582.4091114195001</v>
      </c>
      <c r="CQ9" s="81">
        <f t="shared" si="10"/>
        <v>1582.4091114195001</v>
      </c>
      <c r="CR9" s="81">
        <f t="shared" si="10"/>
        <v>1582.4091114195001</v>
      </c>
      <c r="CS9" s="81">
        <f t="shared" si="10"/>
        <v>1582.4091114195001</v>
      </c>
      <c r="CT9" s="81">
        <f t="shared" si="10"/>
        <v>1582.4091114195001</v>
      </c>
      <c r="CU9" s="81">
        <f t="shared" si="10"/>
        <v>1582.4091114195001</v>
      </c>
      <c r="CV9" s="81">
        <f t="shared" si="10"/>
        <v>1582.4091114195001</v>
      </c>
      <c r="CW9" s="81">
        <f t="shared" si="10"/>
        <v>1582.4091114195001</v>
      </c>
      <c r="CX9" s="81">
        <f t="shared" si="10"/>
        <v>1582.4091114195001</v>
      </c>
    </row>
    <row r="10" spans="2:102" ht="12.6" customHeight="1" x14ac:dyDescent="0.2">
      <c r="B10" s="23" t="s">
        <v>91</v>
      </c>
      <c r="F10" s="31">
        <f>Assumptions!$C$39</f>
        <v>0</v>
      </c>
      <c r="G10" s="31">
        <f>INDEX(Assumptions!$C$39:$M$39,MATCH('DCF Model'!G$5,Assumptions!$C$38:$M$38,0))*(G$5&lt;&gt;F$5)</f>
        <v>0</v>
      </c>
      <c r="H10" s="31">
        <f>INDEX(Assumptions!$C$39:$M$39,MATCH('DCF Model'!H$5,Assumptions!$C$38:$M$38,0))*(H$5&lt;&gt;G$5)</f>
        <v>0</v>
      </c>
      <c r="I10" s="31">
        <f>INDEX(Assumptions!$C$39:$M$39,MATCH('DCF Model'!I$5,Assumptions!$C$38:$M$38,0))*(I$5&lt;&gt;H$5)</f>
        <v>0</v>
      </c>
      <c r="J10" s="31">
        <f>INDEX(Assumptions!$C$39:$M$39,MATCH('DCF Model'!J$5,Assumptions!$C$38:$M$38,0))*(J$5&lt;&gt;I$5)</f>
        <v>0</v>
      </c>
      <c r="K10" s="31">
        <f>INDEX(Assumptions!$C$39:$M$39,MATCH('DCF Model'!K$5,Assumptions!$C$38:$M$38,0))*(K$5&lt;&gt;J$5)</f>
        <v>0</v>
      </c>
      <c r="L10" s="31">
        <f>INDEX(Assumptions!$C$39:$M$39,MATCH('DCF Model'!L$5,Assumptions!$C$38:$M$38,0))*(L$5&lt;&gt;K$5)</f>
        <v>0</v>
      </c>
      <c r="M10" s="31">
        <f>INDEX(Assumptions!$C$39:$M$39,MATCH('DCF Model'!M$5,Assumptions!$C$38:$M$38,0))*(M$5&lt;&gt;L$5)</f>
        <v>0</v>
      </c>
      <c r="N10" s="31">
        <f>INDEX(Assumptions!$C$39:$M$39,MATCH('DCF Model'!N$5,Assumptions!$C$38:$M$38,0))*(N$5&lt;&gt;M$5)</f>
        <v>0</v>
      </c>
      <c r="O10" s="31">
        <f>INDEX(Assumptions!$C$39:$M$39,MATCH('DCF Model'!O$5,Assumptions!$C$38:$M$38,0))*(O$5&lt;&gt;N$5)</f>
        <v>0</v>
      </c>
      <c r="P10" s="31">
        <f>INDEX(Assumptions!$C$39:$M$39,MATCH('DCF Model'!P$5,Assumptions!$C$38:$M$38,0))*(P$5&lt;&gt;O$5)</f>
        <v>0</v>
      </c>
      <c r="Q10" s="31">
        <f>INDEX(Assumptions!$C$39:$M$39,MATCH('DCF Model'!Q$5,Assumptions!$C$38:$M$38,0))*(Q$5&lt;&gt;P$5)</f>
        <v>0</v>
      </c>
      <c r="R10" s="31">
        <f>INDEX(Assumptions!$C$39:$M$39,MATCH('DCF Model'!R$5,Assumptions!$C$38:$M$38,0))*(R$5&lt;&gt;Q$5)</f>
        <v>0</v>
      </c>
      <c r="S10" s="31">
        <f>INDEX(Assumptions!$C$39:$M$39,MATCH('DCF Model'!S$5,Assumptions!$C$38:$M$38,0))*(S$5&lt;&gt;R$5)</f>
        <v>0.05</v>
      </c>
      <c r="T10" s="31">
        <f>INDEX(Assumptions!$C$39:$M$39,MATCH('DCF Model'!T$5,Assumptions!$C$38:$M$38,0))*(T$5&lt;&gt;S$5)</f>
        <v>0</v>
      </c>
      <c r="U10" s="31">
        <f>INDEX(Assumptions!$C$39:$M$39,MATCH('DCF Model'!U$5,Assumptions!$C$38:$M$38,0))*(U$5&lt;&gt;T$5)</f>
        <v>0</v>
      </c>
      <c r="V10" s="31">
        <f>INDEX(Assumptions!$C$39:$M$39,MATCH('DCF Model'!V$5,Assumptions!$C$38:$M$38,0))*(V$5&lt;&gt;U$5)</f>
        <v>0</v>
      </c>
      <c r="W10" s="31">
        <f>INDEX(Assumptions!$C$39:$M$39,MATCH('DCF Model'!W$5,Assumptions!$C$38:$M$38,0))*(W$5&lt;&gt;V$5)</f>
        <v>0</v>
      </c>
      <c r="X10" s="31">
        <f>INDEX(Assumptions!$C$39:$M$39,MATCH('DCF Model'!X$5,Assumptions!$C$38:$M$38,0))*(X$5&lt;&gt;W$5)</f>
        <v>0</v>
      </c>
      <c r="Y10" s="31">
        <f>INDEX(Assumptions!$C$39:$M$39,MATCH('DCF Model'!Y$5,Assumptions!$C$38:$M$38,0))*(Y$5&lt;&gt;X$5)</f>
        <v>0</v>
      </c>
      <c r="Z10" s="31">
        <f>INDEX(Assumptions!$C$39:$M$39,MATCH('DCF Model'!Z$5,Assumptions!$C$38:$M$38,0))*(Z$5&lt;&gt;Y$5)</f>
        <v>0</v>
      </c>
      <c r="AA10" s="31">
        <f>INDEX(Assumptions!$C$39:$M$39,MATCH('DCF Model'!AA$5,Assumptions!$C$38:$M$38,0))*(AA$5&lt;&gt;Z$5)</f>
        <v>0</v>
      </c>
      <c r="AB10" s="31">
        <f>INDEX(Assumptions!$C$39:$M$39,MATCH('DCF Model'!AB$5,Assumptions!$C$38:$M$38,0))*(AB$5&lt;&gt;AA$5)</f>
        <v>0</v>
      </c>
      <c r="AC10" s="31">
        <f>INDEX(Assumptions!$C$39:$M$39,MATCH('DCF Model'!AC$5,Assumptions!$C$38:$M$38,0))*(AC$5&lt;&gt;AB$5)</f>
        <v>0</v>
      </c>
      <c r="AD10" s="31">
        <f>INDEX(Assumptions!$C$39:$M$39,MATCH('DCF Model'!AD$5,Assumptions!$C$38:$M$38,0))*(AD$5&lt;&gt;AC$5)</f>
        <v>0</v>
      </c>
      <c r="AE10" s="31">
        <f>INDEX(Assumptions!$C$39:$M$39,MATCH('DCF Model'!AE$5,Assumptions!$C$38:$M$38,0))*(AE$5&lt;&gt;AD$5)</f>
        <v>0.04</v>
      </c>
      <c r="AF10" s="31">
        <f>INDEX(Assumptions!$C$39:$M$39,MATCH('DCF Model'!AF$5,Assumptions!$C$38:$M$38,0))*(AF$5&lt;&gt;AE$5)</f>
        <v>0</v>
      </c>
      <c r="AG10" s="31">
        <f>INDEX(Assumptions!$C$39:$M$39,MATCH('DCF Model'!AG$5,Assumptions!$C$38:$M$38,0))*(AG$5&lt;&gt;AF$5)</f>
        <v>0</v>
      </c>
      <c r="AH10" s="31">
        <f>INDEX(Assumptions!$C$39:$M$39,MATCH('DCF Model'!AH$5,Assumptions!$C$38:$M$38,0))*(AH$5&lt;&gt;AG$5)</f>
        <v>0</v>
      </c>
      <c r="AI10" s="31">
        <f>INDEX(Assumptions!$C$39:$M$39,MATCH('DCF Model'!AI$5,Assumptions!$C$38:$M$38,0))*(AI$5&lt;&gt;AH$5)</f>
        <v>0</v>
      </c>
      <c r="AJ10" s="31">
        <f>INDEX(Assumptions!$C$39:$M$39,MATCH('DCF Model'!AJ$5,Assumptions!$C$38:$M$38,0))*(AJ$5&lt;&gt;AI$5)</f>
        <v>0</v>
      </c>
      <c r="AK10" s="31">
        <f>INDEX(Assumptions!$C$39:$M$39,MATCH('DCF Model'!AK$5,Assumptions!$C$38:$M$38,0))*(AK$5&lt;&gt;AJ$5)</f>
        <v>0</v>
      </c>
      <c r="AL10" s="31">
        <f>INDEX(Assumptions!$C$39:$M$39,MATCH('DCF Model'!AL$5,Assumptions!$C$38:$M$38,0))*(AL$5&lt;&gt;AK$5)</f>
        <v>0</v>
      </c>
      <c r="AM10" s="31">
        <f>INDEX(Assumptions!$C$39:$M$39,MATCH('DCF Model'!AM$5,Assumptions!$C$38:$M$38,0))*(AM$5&lt;&gt;AL$5)</f>
        <v>0</v>
      </c>
      <c r="AN10" s="31">
        <f>INDEX(Assumptions!$C$39:$M$39,MATCH('DCF Model'!AN$5,Assumptions!$C$38:$M$38,0))*(AN$5&lt;&gt;AM$5)</f>
        <v>0</v>
      </c>
      <c r="AO10" s="31">
        <f>INDEX(Assumptions!$C$39:$M$39,MATCH('DCF Model'!AO$5,Assumptions!$C$38:$M$38,0))*(AO$5&lt;&gt;AN$5)</f>
        <v>0</v>
      </c>
      <c r="AP10" s="31">
        <f>INDEX(Assumptions!$C$39:$M$39,MATCH('DCF Model'!AP$5,Assumptions!$C$38:$M$38,0))*(AP$5&lt;&gt;AO$5)</f>
        <v>0</v>
      </c>
      <c r="AQ10" s="31">
        <f>INDEX(Assumptions!$C$39:$M$39,MATCH('DCF Model'!AQ$5,Assumptions!$C$38:$M$38,0))*(AQ$5&lt;&gt;AP$5)</f>
        <v>0.03</v>
      </c>
      <c r="AR10" s="31">
        <f>INDEX(Assumptions!$C$39:$M$39,MATCH('DCF Model'!AR$5,Assumptions!$C$38:$M$38,0))*(AR$5&lt;&gt;AQ$5)</f>
        <v>0</v>
      </c>
      <c r="AS10" s="31">
        <f>INDEX(Assumptions!$C$39:$M$39,MATCH('DCF Model'!AS$5,Assumptions!$C$38:$M$38,0))*(AS$5&lt;&gt;AR$5)</f>
        <v>0</v>
      </c>
      <c r="AT10" s="31">
        <f>INDEX(Assumptions!$C$39:$M$39,MATCH('DCF Model'!AT$5,Assumptions!$C$38:$M$38,0))*(AT$5&lt;&gt;AS$5)</f>
        <v>0</v>
      </c>
      <c r="AU10" s="31">
        <f>INDEX(Assumptions!$C$39:$M$39,MATCH('DCF Model'!AU$5,Assumptions!$C$38:$M$38,0))*(AU$5&lt;&gt;AT$5)</f>
        <v>0</v>
      </c>
      <c r="AV10" s="31">
        <f>INDEX(Assumptions!$C$39:$M$39,MATCH('DCF Model'!AV$5,Assumptions!$C$38:$M$38,0))*(AV$5&lt;&gt;AU$5)</f>
        <v>0</v>
      </c>
      <c r="AW10" s="31">
        <f>INDEX(Assumptions!$C$39:$M$39,MATCH('DCF Model'!AW$5,Assumptions!$C$38:$M$38,0))*(AW$5&lt;&gt;AV$5)</f>
        <v>0</v>
      </c>
      <c r="AX10" s="31">
        <f>INDEX(Assumptions!$C$39:$M$39,MATCH('DCF Model'!AX$5,Assumptions!$C$38:$M$38,0))*(AX$5&lt;&gt;AW$5)</f>
        <v>0</v>
      </c>
      <c r="AY10" s="31">
        <f>INDEX(Assumptions!$C$39:$M$39,MATCH('DCF Model'!AY$5,Assumptions!$C$38:$M$38,0))*(AY$5&lt;&gt;AX$5)</f>
        <v>0</v>
      </c>
      <c r="AZ10" s="31">
        <f>INDEX(Assumptions!$C$39:$M$39,MATCH('DCF Model'!AZ$5,Assumptions!$C$38:$M$38,0))*(AZ$5&lt;&gt;AY$5)</f>
        <v>0</v>
      </c>
      <c r="BA10" s="31">
        <f>INDEX(Assumptions!$C$39:$M$39,MATCH('DCF Model'!BA$5,Assumptions!$C$38:$M$38,0))*(BA$5&lt;&gt;AZ$5)</f>
        <v>0</v>
      </c>
      <c r="BB10" s="31">
        <f>INDEX(Assumptions!$C$39:$M$39,MATCH('DCF Model'!BB$5,Assumptions!$C$38:$M$38,0))*(BB$5&lt;&gt;BA$5)</f>
        <v>0</v>
      </c>
      <c r="BC10" s="31">
        <f>INDEX(Assumptions!$C$39:$M$39,MATCH('DCF Model'!BC$5,Assumptions!$C$38:$M$38,0))*(BC$5&lt;&gt;BB$5)</f>
        <v>0.03</v>
      </c>
      <c r="BD10" s="31">
        <f>INDEX(Assumptions!$C$39:$M$39,MATCH('DCF Model'!BD$5,Assumptions!$C$38:$M$38,0))*(BD$5&lt;&gt;BC$5)</f>
        <v>0</v>
      </c>
      <c r="BE10" s="31">
        <f>INDEX(Assumptions!$C$39:$M$39,MATCH('DCF Model'!BE$5,Assumptions!$C$38:$M$38,0))*(BE$5&lt;&gt;BD$5)</f>
        <v>0</v>
      </c>
      <c r="BF10" s="31">
        <f>INDEX(Assumptions!$C$39:$M$39,MATCH('DCF Model'!BF$5,Assumptions!$C$38:$M$38,0))*(BF$5&lt;&gt;BE$5)</f>
        <v>0</v>
      </c>
      <c r="BG10" s="31">
        <f>INDEX(Assumptions!$C$39:$M$39,MATCH('DCF Model'!BG$5,Assumptions!$C$38:$M$38,0))*(BG$5&lt;&gt;BF$5)</f>
        <v>0</v>
      </c>
      <c r="BH10" s="31">
        <f>INDEX(Assumptions!$C$39:$M$39,MATCH('DCF Model'!BH$5,Assumptions!$C$38:$M$38,0))*(BH$5&lt;&gt;BG$5)</f>
        <v>0</v>
      </c>
      <c r="BI10" s="31">
        <f>INDEX(Assumptions!$C$39:$M$39,MATCH('DCF Model'!BI$5,Assumptions!$C$38:$M$38,0))*(BI$5&lt;&gt;BH$5)</f>
        <v>0</v>
      </c>
      <c r="BJ10" s="31">
        <f>INDEX(Assumptions!$C$39:$M$39,MATCH('DCF Model'!BJ$5,Assumptions!$C$38:$M$38,0))*(BJ$5&lt;&gt;BI$5)</f>
        <v>0</v>
      </c>
      <c r="BK10" s="31">
        <f>INDEX(Assumptions!$C$39:$M$39,MATCH('DCF Model'!BK$5,Assumptions!$C$38:$M$38,0))*(BK$5&lt;&gt;BJ$5)</f>
        <v>0</v>
      </c>
      <c r="BL10" s="31">
        <f>INDEX(Assumptions!$C$39:$M$39,MATCH('DCF Model'!BL$5,Assumptions!$C$38:$M$38,0))*(BL$5&lt;&gt;BK$5)</f>
        <v>0</v>
      </c>
      <c r="BM10" s="31">
        <f>INDEX(Assumptions!$C$39:$M$39,MATCH('DCF Model'!BM$5,Assumptions!$C$38:$M$38,0))*(BM$5&lt;&gt;BL$5)</f>
        <v>0</v>
      </c>
      <c r="BN10" s="31">
        <f>INDEX(Assumptions!$C$39:$M$39,MATCH('DCF Model'!BN$5,Assumptions!$C$38:$M$38,0))*(BN$5&lt;&gt;BM$5)</f>
        <v>0</v>
      </c>
      <c r="BO10" s="31">
        <f>INDEX(Assumptions!$C$39:$M$39,MATCH('DCF Model'!BO$5,Assumptions!$C$38:$M$38,0))*(BO$5&lt;&gt;BN$5)</f>
        <v>0.03</v>
      </c>
      <c r="BP10" s="31">
        <f>INDEX(Assumptions!$C$39:$M$39,MATCH('DCF Model'!BP$5,Assumptions!$C$38:$M$38,0))*(BP$5&lt;&gt;BO$5)</f>
        <v>0</v>
      </c>
      <c r="BQ10" s="31">
        <f>INDEX(Assumptions!$C$39:$M$39,MATCH('DCF Model'!BQ$5,Assumptions!$C$38:$M$38,0))*(BQ$5&lt;&gt;BP$5)</f>
        <v>0</v>
      </c>
      <c r="BR10" s="31">
        <f>INDEX(Assumptions!$C$39:$M$39,MATCH('DCF Model'!BR$5,Assumptions!$C$38:$M$38,0))*(BR$5&lt;&gt;BQ$5)</f>
        <v>0</v>
      </c>
      <c r="BS10" s="31">
        <f>INDEX(Assumptions!$C$39:$M$39,MATCH('DCF Model'!BS$5,Assumptions!$C$38:$M$38,0))*(BS$5&lt;&gt;BR$5)</f>
        <v>0</v>
      </c>
      <c r="BT10" s="31">
        <f>INDEX(Assumptions!$C$39:$M$39,MATCH('DCF Model'!BT$5,Assumptions!$C$38:$M$38,0))*(BT$5&lt;&gt;BS$5)</f>
        <v>0</v>
      </c>
      <c r="BU10" s="31">
        <f>INDEX(Assumptions!$C$39:$M$39,MATCH('DCF Model'!BU$5,Assumptions!$C$38:$M$38,0))*(BU$5&lt;&gt;BT$5)</f>
        <v>0</v>
      </c>
      <c r="BV10" s="31">
        <f>INDEX(Assumptions!$C$39:$M$39,MATCH('DCF Model'!BV$5,Assumptions!$C$38:$M$38,0))*(BV$5&lt;&gt;BU$5)</f>
        <v>0</v>
      </c>
      <c r="BW10" s="31">
        <f>INDEX(Assumptions!$C$39:$M$39,MATCH('DCF Model'!BW$5,Assumptions!$C$38:$M$38,0))*(BW$5&lt;&gt;BV$5)</f>
        <v>0</v>
      </c>
      <c r="BX10" s="31">
        <f>INDEX(Assumptions!$C$39:$M$39,MATCH('DCF Model'!BX$5,Assumptions!$C$38:$M$38,0))*(BX$5&lt;&gt;BW$5)</f>
        <v>0</v>
      </c>
      <c r="BY10" s="31">
        <f>INDEX(Assumptions!$C$39:$M$39,MATCH('DCF Model'!BY$5,Assumptions!$C$38:$M$38,0))*(BY$5&lt;&gt;BX$5)</f>
        <v>0</v>
      </c>
      <c r="BZ10" s="31">
        <f>INDEX(Assumptions!$C$39:$M$39,MATCH('DCF Model'!BZ$5,Assumptions!$C$38:$M$38,0))*(BZ$5&lt;&gt;BY$5)</f>
        <v>0</v>
      </c>
      <c r="CA10" s="31">
        <f>INDEX(Assumptions!$C$39:$M$39,MATCH('DCF Model'!CA$5,Assumptions!$C$38:$M$38,0))*(CA$5&lt;&gt;BZ$5)</f>
        <v>0.03</v>
      </c>
      <c r="CB10" s="31">
        <f>INDEX(Assumptions!$C$39:$M$39,MATCH('DCF Model'!CB$5,Assumptions!$C$38:$M$38,0))*(CB$5&lt;&gt;CA$5)</f>
        <v>0</v>
      </c>
      <c r="CC10" s="31">
        <f>INDEX(Assumptions!$C$39:$M$39,MATCH('DCF Model'!CC$5,Assumptions!$C$38:$M$38,0))*(CC$5&lt;&gt;CB$5)</f>
        <v>0</v>
      </c>
      <c r="CD10" s="31">
        <f>INDEX(Assumptions!$C$39:$M$39,MATCH('DCF Model'!CD$5,Assumptions!$C$38:$M$38,0))*(CD$5&lt;&gt;CC$5)</f>
        <v>0</v>
      </c>
      <c r="CE10" s="31">
        <f>INDEX(Assumptions!$C$39:$M$39,MATCH('DCF Model'!CE$5,Assumptions!$C$38:$M$38,0))*(CE$5&lt;&gt;CD$5)</f>
        <v>0</v>
      </c>
      <c r="CF10" s="31">
        <f>INDEX(Assumptions!$C$39:$M$39,MATCH('DCF Model'!CF$5,Assumptions!$C$38:$M$38,0))*(CF$5&lt;&gt;CE$5)</f>
        <v>0</v>
      </c>
      <c r="CG10" s="31">
        <f>INDEX(Assumptions!$C$39:$M$39,MATCH('DCF Model'!CG$5,Assumptions!$C$38:$M$38,0))*(CG$5&lt;&gt;CF$5)</f>
        <v>0</v>
      </c>
      <c r="CH10" s="31">
        <f>INDEX(Assumptions!$C$39:$M$39,MATCH('DCF Model'!CH$5,Assumptions!$C$38:$M$38,0))*(CH$5&lt;&gt;CG$5)</f>
        <v>0</v>
      </c>
      <c r="CI10" s="31">
        <f>INDEX(Assumptions!$C$39:$M$39,MATCH('DCF Model'!CI$5,Assumptions!$C$38:$M$38,0))*(CI$5&lt;&gt;CH$5)</f>
        <v>0</v>
      </c>
      <c r="CJ10" s="31">
        <f>INDEX(Assumptions!$C$39:$M$39,MATCH('DCF Model'!CJ$5,Assumptions!$C$38:$M$38,0))*(CJ$5&lt;&gt;CI$5)</f>
        <v>0</v>
      </c>
      <c r="CK10" s="31">
        <f>INDEX(Assumptions!$C$39:$M$39,MATCH('DCF Model'!CK$5,Assumptions!$C$38:$M$38,0))*(CK$5&lt;&gt;CJ$5)</f>
        <v>0</v>
      </c>
      <c r="CL10" s="31">
        <f>INDEX(Assumptions!$C$39:$M$39,MATCH('DCF Model'!CL$5,Assumptions!$C$38:$M$38,0))*(CL$5&lt;&gt;CK$5)</f>
        <v>0</v>
      </c>
      <c r="CM10" s="104">
        <f>INDEX(Assumptions!$C$39:$M$39,MATCH('DCF Model'!CM$5,Assumptions!$C$38:$M$38,0))*(CM$5&lt;&gt;CL$5)</f>
        <v>0.03</v>
      </c>
      <c r="CN10" s="104">
        <f>INDEX(Assumptions!$C$39:$M$39,MATCH('DCF Model'!CN$5,Assumptions!$C$38:$M$38,0))*(CN$5&lt;&gt;CM$5)</f>
        <v>0</v>
      </c>
      <c r="CO10" s="104">
        <f>INDEX(Assumptions!$C$39:$M$39,MATCH('DCF Model'!CO$5,Assumptions!$C$38:$M$38,0))*(CO$5&lt;&gt;CN$5)</f>
        <v>0</v>
      </c>
      <c r="CP10" s="104">
        <f>INDEX(Assumptions!$C$39:$M$39,MATCH('DCF Model'!CP$5,Assumptions!$C$38:$M$38,0))*(CP$5&lt;&gt;CO$5)</f>
        <v>0</v>
      </c>
      <c r="CQ10" s="104">
        <f>INDEX(Assumptions!$C$39:$M$39,MATCH('DCF Model'!CQ$5,Assumptions!$C$38:$M$38,0))*(CQ$5&lt;&gt;CP$5)</f>
        <v>0</v>
      </c>
      <c r="CR10" s="104">
        <f>INDEX(Assumptions!$C$39:$M$39,MATCH('DCF Model'!CR$5,Assumptions!$C$38:$M$38,0))*(CR$5&lt;&gt;CQ$5)</f>
        <v>0</v>
      </c>
      <c r="CS10" s="104">
        <f>INDEX(Assumptions!$C$39:$M$39,MATCH('DCF Model'!CS$5,Assumptions!$C$38:$M$38,0))*(CS$5&lt;&gt;CR$5)</f>
        <v>0</v>
      </c>
      <c r="CT10" s="104">
        <f>INDEX(Assumptions!$C$39:$M$39,MATCH('DCF Model'!CT$5,Assumptions!$C$38:$M$38,0))*(CT$5&lt;&gt;CS$5)</f>
        <v>0</v>
      </c>
      <c r="CU10" s="104">
        <f>INDEX(Assumptions!$C$39:$M$39,MATCH('DCF Model'!CU$5,Assumptions!$C$38:$M$38,0))*(CU$5&lt;&gt;CT$5)</f>
        <v>0</v>
      </c>
      <c r="CV10" s="104">
        <f>INDEX(Assumptions!$C$39:$M$39,MATCH('DCF Model'!CV$5,Assumptions!$C$38:$M$38,0))*(CV$5&lt;&gt;CU$5)</f>
        <v>0</v>
      </c>
      <c r="CW10" s="104">
        <f>INDEX(Assumptions!$C$39:$M$39,MATCH('DCF Model'!CW$5,Assumptions!$C$38:$M$38,0))*(CW$5&lt;&gt;CV$5)</f>
        <v>0</v>
      </c>
      <c r="CX10" s="104">
        <f>INDEX(Assumptions!$C$39:$M$39,MATCH('DCF Model'!CX$5,Assumptions!$C$38:$M$38,0))*(CX$5&lt;&gt;CW$5)</f>
        <v>0</v>
      </c>
    </row>
    <row r="11" spans="2:102" ht="12.6" customHeight="1" x14ac:dyDescent="0.2">
      <c r="B11" s="23" t="s">
        <v>98</v>
      </c>
      <c r="D11" s="32">
        <f>Assumptions!B26/12</f>
        <v>2.0833333333333335</v>
      </c>
      <c r="F11" s="32">
        <f>D11</f>
        <v>2.0833333333333335</v>
      </c>
      <c r="G11" s="32">
        <f t="shared" ref="G11:BR11" si="11">F11*(1+G10)</f>
        <v>2.0833333333333335</v>
      </c>
      <c r="H11" s="32">
        <f t="shared" si="11"/>
        <v>2.0833333333333335</v>
      </c>
      <c r="I11" s="32">
        <f t="shared" si="11"/>
        <v>2.0833333333333335</v>
      </c>
      <c r="J11" s="32">
        <f t="shared" si="11"/>
        <v>2.0833333333333335</v>
      </c>
      <c r="K11" s="32">
        <f t="shared" si="11"/>
        <v>2.0833333333333335</v>
      </c>
      <c r="L11" s="32">
        <f t="shared" si="11"/>
        <v>2.0833333333333335</v>
      </c>
      <c r="M11" s="32">
        <f t="shared" si="11"/>
        <v>2.0833333333333335</v>
      </c>
      <c r="N11" s="32">
        <f t="shared" si="11"/>
        <v>2.0833333333333335</v>
      </c>
      <c r="O11" s="32">
        <f t="shared" si="11"/>
        <v>2.0833333333333335</v>
      </c>
      <c r="P11" s="32">
        <f t="shared" si="11"/>
        <v>2.0833333333333335</v>
      </c>
      <c r="Q11" s="32">
        <f t="shared" si="11"/>
        <v>2.0833333333333335</v>
      </c>
      <c r="R11" s="32">
        <f t="shared" si="11"/>
        <v>2.0833333333333335</v>
      </c>
      <c r="S11" s="32">
        <f t="shared" si="11"/>
        <v>2.1875000000000004</v>
      </c>
      <c r="T11" s="32">
        <f t="shared" si="11"/>
        <v>2.1875000000000004</v>
      </c>
      <c r="U11" s="32">
        <f t="shared" si="11"/>
        <v>2.1875000000000004</v>
      </c>
      <c r="V11" s="32">
        <f t="shared" si="11"/>
        <v>2.1875000000000004</v>
      </c>
      <c r="W11" s="32">
        <f t="shared" si="11"/>
        <v>2.1875000000000004</v>
      </c>
      <c r="X11" s="32">
        <f t="shared" si="11"/>
        <v>2.1875000000000004</v>
      </c>
      <c r="Y11" s="32">
        <f t="shared" si="11"/>
        <v>2.1875000000000004</v>
      </c>
      <c r="Z11" s="32">
        <f t="shared" si="11"/>
        <v>2.1875000000000004</v>
      </c>
      <c r="AA11" s="32">
        <f t="shared" si="11"/>
        <v>2.1875000000000004</v>
      </c>
      <c r="AB11" s="32">
        <f t="shared" si="11"/>
        <v>2.1875000000000004</v>
      </c>
      <c r="AC11" s="32">
        <f t="shared" si="11"/>
        <v>2.1875000000000004</v>
      </c>
      <c r="AD11" s="32">
        <f t="shared" si="11"/>
        <v>2.1875000000000004</v>
      </c>
      <c r="AE11" s="32">
        <f t="shared" si="11"/>
        <v>2.2750000000000004</v>
      </c>
      <c r="AF11" s="32">
        <f t="shared" si="11"/>
        <v>2.2750000000000004</v>
      </c>
      <c r="AG11" s="32">
        <f t="shared" si="11"/>
        <v>2.2750000000000004</v>
      </c>
      <c r="AH11" s="32">
        <f t="shared" si="11"/>
        <v>2.2750000000000004</v>
      </c>
      <c r="AI11" s="32">
        <f t="shared" si="11"/>
        <v>2.2750000000000004</v>
      </c>
      <c r="AJ11" s="32">
        <f t="shared" si="11"/>
        <v>2.2750000000000004</v>
      </c>
      <c r="AK11" s="32">
        <f t="shared" si="11"/>
        <v>2.2750000000000004</v>
      </c>
      <c r="AL11" s="32">
        <f t="shared" si="11"/>
        <v>2.2750000000000004</v>
      </c>
      <c r="AM11" s="32">
        <f t="shared" si="11"/>
        <v>2.2750000000000004</v>
      </c>
      <c r="AN11" s="32">
        <f t="shared" si="11"/>
        <v>2.2750000000000004</v>
      </c>
      <c r="AO11" s="32">
        <f t="shared" si="11"/>
        <v>2.2750000000000004</v>
      </c>
      <c r="AP11" s="32">
        <f t="shared" si="11"/>
        <v>2.2750000000000004</v>
      </c>
      <c r="AQ11" s="32">
        <f t="shared" si="11"/>
        <v>2.3432500000000003</v>
      </c>
      <c r="AR11" s="32">
        <f t="shared" si="11"/>
        <v>2.3432500000000003</v>
      </c>
      <c r="AS11" s="32">
        <f t="shared" si="11"/>
        <v>2.3432500000000003</v>
      </c>
      <c r="AT11" s="32">
        <f t="shared" si="11"/>
        <v>2.3432500000000003</v>
      </c>
      <c r="AU11" s="32">
        <f t="shared" si="11"/>
        <v>2.3432500000000003</v>
      </c>
      <c r="AV11" s="32">
        <f t="shared" si="11"/>
        <v>2.3432500000000003</v>
      </c>
      <c r="AW11" s="32">
        <f t="shared" si="11"/>
        <v>2.3432500000000003</v>
      </c>
      <c r="AX11" s="32">
        <f t="shared" si="11"/>
        <v>2.3432500000000003</v>
      </c>
      <c r="AY11" s="32">
        <f t="shared" si="11"/>
        <v>2.3432500000000003</v>
      </c>
      <c r="AZ11" s="32">
        <f t="shared" si="11"/>
        <v>2.3432500000000003</v>
      </c>
      <c r="BA11" s="32">
        <f t="shared" si="11"/>
        <v>2.3432500000000003</v>
      </c>
      <c r="BB11" s="32">
        <f t="shared" si="11"/>
        <v>2.3432500000000003</v>
      </c>
      <c r="BC11" s="32">
        <f t="shared" si="11"/>
        <v>2.4135475000000004</v>
      </c>
      <c r="BD11" s="32">
        <f t="shared" si="11"/>
        <v>2.4135475000000004</v>
      </c>
      <c r="BE11" s="32">
        <f t="shared" si="11"/>
        <v>2.4135475000000004</v>
      </c>
      <c r="BF11" s="32">
        <f t="shared" si="11"/>
        <v>2.4135475000000004</v>
      </c>
      <c r="BG11" s="32">
        <f t="shared" si="11"/>
        <v>2.4135475000000004</v>
      </c>
      <c r="BH11" s="32">
        <f t="shared" si="11"/>
        <v>2.4135475000000004</v>
      </c>
      <c r="BI11" s="32">
        <f t="shared" si="11"/>
        <v>2.4135475000000004</v>
      </c>
      <c r="BJ11" s="32">
        <f t="shared" si="11"/>
        <v>2.4135475000000004</v>
      </c>
      <c r="BK11" s="32">
        <f t="shared" si="11"/>
        <v>2.4135475000000004</v>
      </c>
      <c r="BL11" s="32">
        <f t="shared" si="11"/>
        <v>2.4135475000000004</v>
      </c>
      <c r="BM11" s="32">
        <f t="shared" si="11"/>
        <v>2.4135475000000004</v>
      </c>
      <c r="BN11" s="32">
        <f t="shared" si="11"/>
        <v>2.4135475000000004</v>
      </c>
      <c r="BO11" s="32">
        <f t="shared" si="11"/>
        <v>2.4859539250000005</v>
      </c>
      <c r="BP11" s="32">
        <f t="shared" si="11"/>
        <v>2.4859539250000005</v>
      </c>
      <c r="BQ11" s="32">
        <f t="shared" si="11"/>
        <v>2.4859539250000005</v>
      </c>
      <c r="BR11" s="32">
        <f t="shared" si="11"/>
        <v>2.4859539250000005</v>
      </c>
      <c r="BS11" s="32">
        <f t="shared" ref="BS11:CX11" si="12">BR11*(1+BS10)</f>
        <v>2.4859539250000005</v>
      </c>
      <c r="BT11" s="32">
        <f t="shared" si="12"/>
        <v>2.4859539250000005</v>
      </c>
      <c r="BU11" s="32">
        <f t="shared" si="12"/>
        <v>2.4859539250000005</v>
      </c>
      <c r="BV11" s="32">
        <f t="shared" si="12"/>
        <v>2.4859539250000005</v>
      </c>
      <c r="BW11" s="32">
        <f t="shared" si="12"/>
        <v>2.4859539250000005</v>
      </c>
      <c r="BX11" s="32">
        <f t="shared" si="12"/>
        <v>2.4859539250000005</v>
      </c>
      <c r="BY11" s="32">
        <f t="shared" si="12"/>
        <v>2.4859539250000005</v>
      </c>
      <c r="BZ11" s="32">
        <f t="shared" si="12"/>
        <v>2.4859539250000005</v>
      </c>
      <c r="CA11" s="32">
        <f t="shared" si="12"/>
        <v>2.5605325427500008</v>
      </c>
      <c r="CB11" s="32">
        <f t="shared" si="12"/>
        <v>2.5605325427500008</v>
      </c>
      <c r="CC11" s="32">
        <f t="shared" si="12"/>
        <v>2.5605325427500008</v>
      </c>
      <c r="CD11" s="32">
        <f t="shared" si="12"/>
        <v>2.5605325427500008</v>
      </c>
      <c r="CE11" s="32">
        <f t="shared" si="12"/>
        <v>2.5605325427500008</v>
      </c>
      <c r="CF11" s="32">
        <f t="shared" si="12"/>
        <v>2.5605325427500008</v>
      </c>
      <c r="CG11" s="32">
        <f t="shared" si="12"/>
        <v>2.5605325427500008</v>
      </c>
      <c r="CH11" s="32">
        <f t="shared" si="12"/>
        <v>2.5605325427500008</v>
      </c>
      <c r="CI11" s="32">
        <f t="shared" si="12"/>
        <v>2.5605325427500008</v>
      </c>
      <c r="CJ11" s="32">
        <f t="shared" si="12"/>
        <v>2.5605325427500008</v>
      </c>
      <c r="CK11" s="32">
        <f t="shared" si="12"/>
        <v>2.5605325427500008</v>
      </c>
      <c r="CL11" s="32">
        <f t="shared" si="12"/>
        <v>2.5605325427500008</v>
      </c>
      <c r="CM11" s="83">
        <f t="shared" si="12"/>
        <v>2.6373485190325008</v>
      </c>
      <c r="CN11" s="83">
        <f t="shared" si="12"/>
        <v>2.6373485190325008</v>
      </c>
      <c r="CO11" s="83">
        <f t="shared" si="12"/>
        <v>2.6373485190325008</v>
      </c>
      <c r="CP11" s="83">
        <f t="shared" si="12"/>
        <v>2.6373485190325008</v>
      </c>
      <c r="CQ11" s="83">
        <f t="shared" si="12"/>
        <v>2.6373485190325008</v>
      </c>
      <c r="CR11" s="83">
        <f t="shared" si="12"/>
        <v>2.6373485190325008</v>
      </c>
      <c r="CS11" s="83">
        <f t="shared" si="12"/>
        <v>2.6373485190325008</v>
      </c>
      <c r="CT11" s="83">
        <f t="shared" si="12"/>
        <v>2.6373485190325008</v>
      </c>
      <c r="CU11" s="83">
        <f t="shared" si="12"/>
        <v>2.6373485190325008</v>
      </c>
      <c r="CV11" s="83">
        <f t="shared" si="12"/>
        <v>2.6373485190325008</v>
      </c>
      <c r="CW11" s="83">
        <f t="shared" si="12"/>
        <v>2.6373485190325008</v>
      </c>
      <c r="CX11" s="83">
        <f t="shared" si="12"/>
        <v>2.6373485190325008</v>
      </c>
    </row>
    <row r="12" spans="2:102" ht="12.6" customHeight="1" x14ac:dyDescent="0.2">
      <c r="B12" s="23" t="s">
        <v>80</v>
      </c>
      <c r="F12" s="31">
        <f>Assumptions!$C$39</f>
        <v>0</v>
      </c>
      <c r="G12" s="31">
        <f>INDEX(Assumptions!$C$41:$M$41,MATCH('DCF Model'!G$5,Assumptions!$C$38:$M$38,0))*(G$5&lt;&gt;F$5)</f>
        <v>0.02</v>
      </c>
      <c r="H12" s="31">
        <f>INDEX(Assumptions!$C$41:$M$41,MATCH('DCF Model'!H$5,Assumptions!$C$38:$M$38,0))*(H$5&lt;&gt;G$5)</f>
        <v>0</v>
      </c>
      <c r="I12" s="31">
        <f>INDEX(Assumptions!$C$41:$M$41,MATCH('DCF Model'!I$5,Assumptions!$C$38:$M$38,0))*(I$5&lt;&gt;H$5)</f>
        <v>0</v>
      </c>
      <c r="J12" s="31">
        <f>INDEX(Assumptions!$C$41:$M$41,MATCH('DCF Model'!J$5,Assumptions!$C$38:$M$38,0))*(J$5&lt;&gt;I$5)</f>
        <v>0</v>
      </c>
      <c r="K12" s="31">
        <f>INDEX(Assumptions!$C$41:$M$41,MATCH('DCF Model'!K$5,Assumptions!$C$38:$M$38,0))*(K$5&lt;&gt;J$5)</f>
        <v>0</v>
      </c>
      <c r="L12" s="31">
        <f>INDEX(Assumptions!$C$41:$M$41,MATCH('DCF Model'!L$5,Assumptions!$C$38:$M$38,0))*(L$5&lt;&gt;K$5)</f>
        <v>0</v>
      </c>
      <c r="M12" s="31">
        <f>INDEX(Assumptions!$C$41:$M$41,MATCH('DCF Model'!M$5,Assumptions!$C$38:$M$38,0))*(M$5&lt;&gt;L$5)</f>
        <v>0</v>
      </c>
      <c r="N12" s="31">
        <f>INDEX(Assumptions!$C$41:$M$41,MATCH('DCF Model'!N$5,Assumptions!$C$38:$M$38,0))*(N$5&lt;&gt;M$5)</f>
        <v>0</v>
      </c>
      <c r="O12" s="31">
        <f>INDEX(Assumptions!$C$41:$M$41,MATCH('DCF Model'!O$5,Assumptions!$C$38:$M$38,0))*(O$5&lt;&gt;N$5)</f>
        <v>0</v>
      </c>
      <c r="P12" s="31">
        <f>INDEX(Assumptions!$C$41:$M$41,MATCH('DCF Model'!P$5,Assumptions!$C$38:$M$38,0))*(P$5&lt;&gt;O$5)</f>
        <v>0</v>
      </c>
      <c r="Q12" s="31">
        <f>INDEX(Assumptions!$C$41:$M$41,MATCH('DCF Model'!Q$5,Assumptions!$C$38:$M$38,0))*(Q$5&lt;&gt;P$5)</f>
        <v>0</v>
      </c>
      <c r="R12" s="31">
        <f>INDEX(Assumptions!$C$41:$M$41,MATCH('DCF Model'!R$5,Assumptions!$C$38:$M$38,0))*(R$5&lt;&gt;Q$5)</f>
        <v>0</v>
      </c>
      <c r="S12" s="31">
        <f>INDEX(Assumptions!$C$41:$M$41,MATCH('DCF Model'!S$5,Assumptions!$C$38:$M$38,0))*(S$5&lt;&gt;R$5)</f>
        <v>0.02</v>
      </c>
      <c r="T12" s="31">
        <f>INDEX(Assumptions!$C$41:$M$41,MATCH('DCF Model'!T$5,Assumptions!$C$38:$M$38,0))*(T$5&lt;&gt;S$5)</f>
        <v>0</v>
      </c>
      <c r="U12" s="31">
        <f>INDEX(Assumptions!$C$41:$M$41,MATCH('DCF Model'!U$5,Assumptions!$C$38:$M$38,0))*(U$5&lt;&gt;T$5)</f>
        <v>0</v>
      </c>
      <c r="V12" s="31">
        <f>INDEX(Assumptions!$C$41:$M$41,MATCH('DCF Model'!V$5,Assumptions!$C$38:$M$38,0))*(V$5&lt;&gt;U$5)</f>
        <v>0</v>
      </c>
      <c r="W12" s="31">
        <f>INDEX(Assumptions!$C$41:$M$41,MATCH('DCF Model'!W$5,Assumptions!$C$38:$M$38,0))*(W$5&lt;&gt;V$5)</f>
        <v>0</v>
      </c>
      <c r="X12" s="31">
        <f>INDEX(Assumptions!$C$41:$M$41,MATCH('DCF Model'!X$5,Assumptions!$C$38:$M$38,0))*(X$5&lt;&gt;W$5)</f>
        <v>0</v>
      </c>
      <c r="Y12" s="31">
        <f>INDEX(Assumptions!$C$41:$M$41,MATCH('DCF Model'!Y$5,Assumptions!$C$38:$M$38,0))*(Y$5&lt;&gt;X$5)</f>
        <v>0</v>
      </c>
      <c r="Z12" s="31">
        <f>INDEX(Assumptions!$C$41:$M$41,MATCH('DCF Model'!Z$5,Assumptions!$C$38:$M$38,0))*(Z$5&lt;&gt;Y$5)</f>
        <v>0</v>
      </c>
      <c r="AA12" s="31">
        <f>INDEX(Assumptions!$C$41:$M$41,MATCH('DCF Model'!AA$5,Assumptions!$C$38:$M$38,0))*(AA$5&lt;&gt;Z$5)</f>
        <v>0</v>
      </c>
      <c r="AB12" s="31">
        <f>INDEX(Assumptions!$C$41:$M$41,MATCH('DCF Model'!AB$5,Assumptions!$C$38:$M$38,0))*(AB$5&lt;&gt;AA$5)</f>
        <v>0</v>
      </c>
      <c r="AC12" s="31">
        <f>INDEX(Assumptions!$C$41:$M$41,MATCH('DCF Model'!AC$5,Assumptions!$C$38:$M$38,0))*(AC$5&lt;&gt;AB$5)</f>
        <v>0</v>
      </c>
      <c r="AD12" s="31">
        <f>INDEX(Assumptions!$C$41:$M$41,MATCH('DCF Model'!AD$5,Assumptions!$C$38:$M$38,0))*(AD$5&lt;&gt;AC$5)</f>
        <v>0</v>
      </c>
      <c r="AE12" s="31">
        <f>INDEX(Assumptions!$C$41:$M$41,MATCH('DCF Model'!AE$5,Assumptions!$C$38:$M$38,0))*(AE$5&lt;&gt;AD$5)</f>
        <v>0.02</v>
      </c>
      <c r="AF12" s="31">
        <f>INDEX(Assumptions!$C$41:$M$41,MATCH('DCF Model'!AF$5,Assumptions!$C$38:$M$38,0))*(AF$5&lt;&gt;AE$5)</f>
        <v>0</v>
      </c>
      <c r="AG12" s="31">
        <f>INDEX(Assumptions!$C$41:$M$41,MATCH('DCF Model'!AG$5,Assumptions!$C$38:$M$38,0))*(AG$5&lt;&gt;AF$5)</f>
        <v>0</v>
      </c>
      <c r="AH12" s="31">
        <f>INDEX(Assumptions!$C$41:$M$41,MATCH('DCF Model'!AH$5,Assumptions!$C$38:$M$38,0))*(AH$5&lt;&gt;AG$5)</f>
        <v>0</v>
      </c>
      <c r="AI12" s="31">
        <f>INDEX(Assumptions!$C$41:$M$41,MATCH('DCF Model'!AI$5,Assumptions!$C$38:$M$38,0))*(AI$5&lt;&gt;AH$5)</f>
        <v>0</v>
      </c>
      <c r="AJ12" s="31">
        <f>INDEX(Assumptions!$C$41:$M$41,MATCH('DCF Model'!AJ$5,Assumptions!$C$38:$M$38,0))*(AJ$5&lt;&gt;AI$5)</f>
        <v>0</v>
      </c>
      <c r="AK12" s="31">
        <f>INDEX(Assumptions!$C$41:$M$41,MATCH('DCF Model'!AK$5,Assumptions!$C$38:$M$38,0))*(AK$5&lt;&gt;AJ$5)</f>
        <v>0</v>
      </c>
      <c r="AL12" s="31">
        <f>INDEX(Assumptions!$C$41:$M$41,MATCH('DCF Model'!AL$5,Assumptions!$C$38:$M$38,0))*(AL$5&lt;&gt;AK$5)</f>
        <v>0</v>
      </c>
      <c r="AM12" s="31">
        <f>INDEX(Assumptions!$C$41:$M$41,MATCH('DCF Model'!AM$5,Assumptions!$C$38:$M$38,0))*(AM$5&lt;&gt;AL$5)</f>
        <v>0</v>
      </c>
      <c r="AN12" s="31">
        <f>INDEX(Assumptions!$C$41:$M$41,MATCH('DCF Model'!AN$5,Assumptions!$C$38:$M$38,0))*(AN$5&lt;&gt;AM$5)</f>
        <v>0</v>
      </c>
      <c r="AO12" s="31">
        <f>INDEX(Assumptions!$C$41:$M$41,MATCH('DCF Model'!AO$5,Assumptions!$C$38:$M$38,0))*(AO$5&lt;&gt;AN$5)</f>
        <v>0</v>
      </c>
      <c r="AP12" s="31">
        <f>INDEX(Assumptions!$C$41:$M$41,MATCH('DCF Model'!AP$5,Assumptions!$C$38:$M$38,0))*(AP$5&lt;&gt;AO$5)</f>
        <v>0</v>
      </c>
      <c r="AQ12" s="31">
        <f>INDEX(Assumptions!$C$41:$M$41,MATCH('DCF Model'!AQ$5,Assumptions!$C$38:$M$38,0))*(AQ$5&lt;&gt;AP$5)</f>
        <v>0.02</v>
      </c>
      <c r="AR12" s="31">
        <f>INDEX(Assumptions!$C$41:$M$41,MATCH('DCF Model'!AR$5,Assumptions!$C$38:$M$38,0))*(AR$5&lt;&gt;AQ$5)</f>
        <v>0</v>
      </c>
      <c r="AS12" s="31">
        <f>INDEX(Assumptions!$C$41:$M$41,MATCH('DCF Model'!AS$5,Assumptions!$C$38:$M$38,0))*(AS$5&lt;&gt;AR$5)</f>
        <v>0</v>
      </c>
      <c r="AT12" s="31">
        <f>INDEX(Assumptions!$C$41:$M$41,MATCH('DCF Model'!AT$5,Assumptions!$C$38:$M$38,0))*(AT$5&lt;&gt;AS$5)</f>
        <v>0</v>
      </c>
      <c r="AU12" s="31">
        <f>INDEX(Assumptions!$C$41:$M$41,MATCH('DCF Model'!AU$5,Assumptions!$C$38:$M$38,0))*(AU$5&lt;&gt;AT$5)</f>
        <v>0</v>
      </c>
      <c r="AV12" s="31">
        <f>INDEX(Assumptions!$C$41:$M$41,MATCH('DCF Model'!AV$5,Assumptions!$C$38:$M$38,0))*(AV$5&lt;&gt;AU$5)</f>
        <v>0</v>
      </c>
      <c r="AW12" s="31">
        <f>INDEX(Assumptions!$C$41:$M$41,MATCH('DCF Model'!AW$5,Assumptions!$C$38:$M$38,0))*(AW$5&lt;&gt;AV$5)</f>
        <v>0</v>
      </c>
      <c r="AX12" s="31">
        <f>INDEX(Assumptions!$C$41:$M$41,MATCH('DCF Model'!AX$5,Assumptions!$C$38:$M$38,0))*(AX$5&lt;&gt;AW$5)</f>
        <v>0</v>
      </c>
      <c r="AY12" s="31">
        <f>INDEX(Assumptions!$C$41:$M$41,MATCH('DCF Model'!AY$5,Assumptions!$C$38:$M$38,0))*(AY$5&lt;&gt;AX$5)</f>
        <v>0</v>
      </c>
      <c r="AZ12" s="31">
        <f>INDEX(Assumptions!$C$41:$M$41,MATCH('DCF Model'!AZ$5,Assumptions!$C$38:$M$38,0))*(AZ$5&lt;&gt;AY$5)</f>
        <v>0</v>
      </c>
      <c r="BA12" s="31">
        <f>INDEX(Assumptions!$C$41:$M$41,MATCH('DCF Model'!BA$5,Assumptions!$C$38:$M$38,0))*(BA$5&lt;&gt;AZ$5)</f>
        <v>0</v>
      </c>
      <c r="BB12" s="31">
        <f>INDEX(Assumptions!$C$41:$M$41,MATCH('DCF Model'!BB$5,Assumptions!$C$38:$M$38,0))*(BB$5&lt;&gt;BA$5)</f>
        <v>0</v>
      </c>
      <c r="BC12" s="31">
        <f>INDEX(Assumptions!$C$41:$M$41,MATCH('DCF Model'!BC$5,Assumptions!$C$38:$M$38,0))*(BC$5&lt;&gt;BB$5)</f>
        <v>0.02</v>
      </c>
      <c r="BD12" s="31">
        <f>INDEX(Assumptions!$C$41:$M$41,MATCH('DCF Model'!BD$5,Assumptions!$C$38:$M$38,0))*(BD$5&lt;&gt;BC$5)</f>
        <v>0</v>
      </c>
      <c r="BE12" s="31">
        <f>INDEX(Assumptions!$C$41:$M$41,MATCH('DCF Model'!BE$5,Assumptions!$C$38:$M$38,0))*(BE$5&lt;&gt;BD$5)</f>
        <v>0</v>
      </c>
      <c r="BF12" s="31">
        <f>INDEX(Assumptions!$C$41:$M$41,MATCH('DCF Model'!BF$5,Assumptions!$C$38:$M$38,0))*(BF$5&lt;&gt;BE$5)</f>
        <v>0</v>
      </c>
      <c r="BG12" s="31">
        <f>INDEX(Assumptions!$C$41:$M$41,MATCH('DCF Model'!BG$5,Assumptions!$C$38:$M$38,0))*(BG$5&lt;&gt;BF$5)</f>
        <v>0</v>
      </c>
      <c r="BH12" s="31">
        <f>INDEX(Assumptions!$C$41:$M$41,MATCH('DCF Model'!BH$5,Assumptions!$C$38:$M$38,0))*(BH$5&lt;&gt;BG$5)</f>
        <v>0</v>
      </c>
      <c r="BI12" s="31">
        <f>INDEX(Assumptions!$C$41:$M$41,MATCH('DCF Model'!BI$5,Assumptions!$C$38:$M$38,0))*(BI$5&lt;&gt;BH$5)</f>
        <v>0</v>
      </c>
      <c r="BJ12" s="31">
        <f>INDEX(Assumptions!$C$41:$M$41,MATCH('DCF Model'!BJ$5,Assumptions!$C$38:$M$38,0))*(BJ$5&lt;&gt;BI$5)</f>
        <v>0</v>
      </c>
      <c r="BK12" s="31">
        <f>INDEX(Assumptions!$C$41:$M$41,MATCH('DCF Model'!BK$5,Assumptions!$C$38:$M$38,0))*(BK$5&lt;&gt;BJ$5)</f>
        <v>0</v>
      </c>
      <c r="BL12" s="31">
        <f>INDEX(Assumptions!$C$41:$M$41,MATCH('DCF Model'!BL$5,Assumptions!$C$38:$M$38,0))*(BL$5&lt;&gt;BK$5)</f>
        <v>0</v>
      </c>
      <c r="BM12" s="31">
        <f>INDEX(Assumptions!$C$41:$M$41,MATCH('DCF Model'!BM$5,Assumptions!$C$38:$M$38,0))*(BM$5&lt;&gt;BL$5)</f>
        <v>0</v>
      </c>
      <c r="BN12" s="31">
        <f>INDEX(Assumptions!$C$41:$M$41,MATCH('DCF Model'!BN$5,Assumptions!$C$38:$M$38,0))*(BN$5&lt;&gt;BM$5)</f>
        <v>0</v>
      </c>
      <c r="BO12" s="31">
        <f>INDEX(Assumptions!$C$41:$M$41,MATCH('DCF Model'!BO$5,Assumptions!$C$38:$M$38,0))*(BO$5&lt;&gt;BN$5)</f>
        <v>0.02</v>
      </c>
      <c r="BP12" s="31">
        <f>INDEX(Assumptions!$C$41:$M$41,MATCH('DCF Model'!BP$5,Assumptions!$C$38:$M$38,0))*(BP$5&lt;&gt;BO$5)</f>
        <v>0</v>
      </c>
      <c r="BQ12" s="31">
        <f>INDEX(Assumptions!$C$41:$M$41,MATCH('DCF Model'!BQ$5,Assumptions!$C$38:$M$38,0))*(BQ$5&lt;&gt;BP$5)</f>
        <v>0</v>
      </c>
      <c r="BR12" s="31">
        <f>INDEX(Assumptions!$C$41:$M$41,MATCH('DCF Model'!BR$5,Assumptions!$C$38:$M$38,0))*(BR$5&lt;&gt;BQ$5)</f>
        <v>0</v>
      </c>
      <c r="BS12" s="31">
        <f>INDEX(Assumptions!$C$41:$M$41,MATCH('DCF Model'!BS$5,Assumptions!$C$38:$M$38,0))*(BS$5&lt;&gt;BR$5)</f>
        <v>0</v>
      </c>
      <c r="BT12" s="31">
        <f>INDEX(Assumptions!$C$41:$M$41,MATCH('DCF Model'!BT$5,Assumptions!$C$38:$M$38,0))*(BT$5&lt;&gt;BS$5)</f>
        <v>0</v>
      </c>
      <c r="BU12" s="31">
        <f>INDEX(Assumptions!$C$41:$M$41,MATCH('DCF Model'!BU$5,Assumptions!$C$38:$M$38,0))*(BU$5&lt;&gt;BT$5)</f>
        <v>0</v>
      </c>
      <c r="BV12" s="31">
        <f>INDEX(Assumptions!$C$41:$M$41,MATCH('DCF Model'!BV$5,Assumptions!$C$38:$M$38,0))*(BV$5&lt;&gt;BU$5)</f>
        <v>0</v>
      </c>
      <c r="BW12" s="31">
        <f>INDEX(Assumptions!$C$41:$M$41,MATCH('DCF Model'!BW$5,Assumptions!$C$38:$M$38,0))*(BW$5&lt;&gt;BV$5)</f>
        <v>0</v>
      </c>
      <c r="BX12" s="31">
        <f>INDEX(Assumptions!$C$41:$M$41,MATCH('DCF Model'!BX$5,Assumptions!$C$38:$M$38,0))*(BX$5&lt;&gt;BW$5)</f>
        <v>0</v>
      </c>
      <c r="BY12" s="31">
        <f>INDEX(Assumptions!$C$41:$M$41,MATCH('DCF Model'!BY$5,Assumptions!$C$38:$M$38,0))*(BY$5&lt;&gt;BX$5)</f>
        <v>0</v>
      </c>
      <c r="BZ12" s="31">
        <f>INDEX(Assumptions!$C$41:$M$41,MATCH('DCF Model'!BZ$5,Assumptions!$C$38:$M$38,0))*(BZ$5&lt;&gt;BY$5)</f>
        <v>0</v>
      </c>
      <c r="CA12" s="31">
        <f>INDEX(Assumptions!$C$41:$M$41,MATCH('DCF Model'!CA$5,Assumptions!$C$38:$M$38,0))*(CA$5&lt;&gt;BZ$5)</f>
        <v>0.02</v>
      </c>
      <c r="CB12" s="31">
        <f>INDEX(Assumptions!$C$41:$M$41,MATCH('DCF Model'!CB$5,Assumptions!$C$38:$M$38,0))*(CB$5&lt;&gt;CA$5)</f>
        <v>0</v>
      </c>
      <c r="CC12" s="31">
        <f>INDEX(Assumptions!$C$41:$M$41,MATCH('DCF Model'!CC$5,Assumptions!$C$38:$M$38,0))*(CC$5&lt;&gt;CB$5)</f>
        <v>0</v>
      </c>
      <c r="CD12" s="31">
        <f>INDEX(Assumptions!$C$41:$M$41,MATCH('DCF Model'!CD$5,Assumptions!$C$38:$M$38,0))*(CD$5&lt;&gt;CC$5)</f>
        <v>0</v>
      </c>
      <c r="CE12" s="31">
        <f>INDEX(Assumptions!$C$41:$M$41,MATCH('DCF Model'!CE$5,Assumptions!$C$38:$M$38,0))*(CE$5&lt;&gt;CD$5)</f>
        <v>0</v>
      </c>
      <c r="CF12" s="31">
        <f>INDEX(Assumptions!$C$41:$M$41,MATCH('DCF Model'!CF$5,Assumptions!$C$38:$M$38,0))*(CF$5&lt;&gt;CE$5)</f>
        <v>0</v>
      </c>
      <c r="CG12" s="31">
        <f>INDEX(Assumptions!$C$41:$M$41,MATCH('DCF Model'!CG$5,Assumptions!$C$38:$M$38,0))*(CG$5&lt;&gt;CF$5)</f>
        <v>0</v>
      </c>
      <c r="CH12" s="31">
        <f>INDEX(Assumptions!$C$41:$M$41,MATCH('DCF Model'!CH$5,Assumptions!$C$38:$M$38,0))*(CH$5&lt;&gt;CG$5)</f>
        <v>0</v>
      </c>
      <c r="CI12" s="31">
        <f>INDEX(Assumptions!$C$41:$M$41,MATCH('DCF Model'!CI$5,Assumptions!$C$38:$M$38,0))*(CI$5&lt;&gt;CH$5)</f>
        <v>0</v>
      </c>
      <c r="CJ12" s="31">
        <f>INDEX(Assumptions!$C$41:$M$41,MATCH('DCF Model'!CJ$5,Assumptions!$C$38:$M$38,0))*(CJ$5&lt;&gt;CI$5)</f>
        <v>0</v>
      </c>
      <c r="CK12" s="31">
        <f>INDEX(Assumptions!$C$41:$M$41,MATCH('DCF Model'!CK$5,Assumptions!$C$38:$M$38,0))*(CK$5&lt;&gt;CJ$5)</f>
        <v>0</v>
      </c>
      <c r="CL12" s="31">
        <f>INDEX(Assumptions!$C$41:$M$41,MATCH('DCF Model'!CL$5,Assumptions!$C$38:$M$38,0))*(CL$5&lt;&gt;CK$5)</f>
        <v>0</v>
      </c>
      <c r="CM12" s="104">
        <f>INDEX(Assumptions!$C$41:$M$41,MATCH('DCF Model'!CM$5,Assumptions!$C$38:$M$38,0))*(CM$5&lt;&gt;CL$5)</f>
        <v>0.02</v>
      </c>
      <c r="CN12" s="104">
        <f>INDEX(Assumptions!$C$41:$M$41,MATCH('DCF Model'!CN$5,Assumptions!$C$38:$M$38,0))*(CN$5&lt;&gt;CM$5)</f>
        <v>0</v>
      </c>
      <c r="CO12" s="104">
        <f>INDEX(Assumptions!$C$41:$M$41,MATCH('DCF Model'!CO$5,Assumptions!$C$38:$M$38,0))*(CO$5&lt;&gt;CN$5)</f>
        <v>0</v>
      </c>
      <c r="CP12" s="104">
        <f>INDEX(Assumptions!$C$41:$M$41,MATCH('DCF Model'!CP$5,Assumptions!$C$38:$M$38,0))*(CP$5&lt;&gt;CO$5)</f>
        <v>0</v>
      </c>
      <c r="CQ12" s="104">
        <f>INDEX(Assumptions!$C$41:$M$41,MATCH('DCF Model'!CQ$5,Assumptions!$C$38:$M$38,0))*(CQ$5&lt;&gt;CP$5)</f>
        <v>0</v>
      </c>
      <c r="CR12" s="104">
        <f>INDEX(Assumptions!$C$41:$M$41,MATCH('DCF Model'!CR$5,Assumptions!$C$38:$M$38,0))*(CR$5&lt;&gt;CQ$5)</f>
        <v>0</v>
      </c>
      <c r="CS12" s="104">
        <f>INDEX(Assumptions!$C$41:$M$41,MATCH('DCF Model'!CS$5,Assumptions!$C$38:$M$38,0))*(CS$5&lt;&gt;CR$5)</f>
        <v>0</v>
      </c>
      <c r="CT12" s="104">
        <f>INDEX(Assumptions!$C$41:$M$41,MATCH('DCF Model'!CT$5,Assumptions!$C$38:$M$38,0))*(CT$5&lt;&gt;CS$5)</f>
        <v>0</v>
      </c>
      <c r="CU12" s="104">
        <f>INDEX(Assumptions!$C$41:$M$41,MATCH('DCF Model'!CU$5,Assumptions!$C$38:$M$38,0))*(CU$5&lt;&gt;CT$5)</f>
        <v>0</v>
      </c>
      <c r="CV12" s="104">
        <f>INDEX(Assumptions!$C$41:$M$41,MATCH('DCF Model'!CV$5,Assumptions!$C$38:$M$38,0))*(CV$5&lt;&gt;CU$5)</f>
        <v>0</v>
      </c>
      <c r="CW12" s="104">
        <f>INDEX(Assumptions!$C$41:$M$41,MATCH('DCF Model'!CW$5,Assumptions!$C$38:$M$38,0))*(CW$5&lt;&gt;CV$5)</f>
        <v>0</v>
      </c>
      <c r="CX12" s="104">
        <f>INDEX(Assumptions!$C$41:$M$41,MATCH('DCF Model'!CX$5,Assumptions!$C$38:$M$38,0))*(CX$5&lt;&gt;CW$5)</f>
        <v>0</v>
      </c>
    </row>
    <row r="13" spans="2:102" ht="12.6" customHeight="1" x14ac:dyDescent="0.2">
      <c r="B13" s="23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104"/>
      <c r="CN13" s="104"/>
      <c r="CO13" s="104"/>
      <c r="CP13" s="104"/>
      <c r="CQ13" s="104"/>
      <c r="CR13" s="104"/>
      <c r="CS13" s="104"/>
      <c r="CT13" s="104"/>
      <c r="CU13" s="104"/>
      <c r="CV13" s="104"/>
      <c r="CW13" s="104"/>
      <c r="CX13" s="104"/>
    </row>
    <row r="14" spans="2:102" ht="12.6" customHeight="1" x14ac:dyDescent="0.2">
      <c r="B14" s="207" t="s">
        <v>11</v>
      </c>
      <c r="C14" s="207"/>
      <c r="D14" s="125"/>
      <c r="E14" s="114"/>
    </row>
    <row r="15" spans="2:102" ht="12.6" customHeight="1" x14ac:dyDescent="0.2">
      <c r="B15" s="33" t="s">
        <v>88</v>
      </c>
    </row>
    <row r="16" spans="2:102" ht="12.6" customHeight="1" x14ac:dyDescent="0.2">
      <c r="B16" s="117" t="s">
        <v>106</v>
      </c>
      <c r="D16" s="29">
        <f>Assumptions!L17</f>
        <v>4200000</v>
      </c>
      <c r="F16" s="30"/>
      <c r="G16" s="29">
        <f t="shared" ref="G16:AL16" si="13">G9*$D$5</f>
        <v>375000</v>
      </c>
      <c r="H16" s="29">
        <f t="shared" si="13"/>
        <v>375000</v>
      </c>
      <c r="I16" s="29">
        <f t="shared" si="13"/>
        <v>375000</v>
      </c>
      <c r="J16" s="29">
        <f t="shared" si="13"/>
        <v>375000</v>
      </c>
      <c r="K16" s="29">
        <f t="shared" si="13"/>
        <v>375000</v>
      </c>
      <c r="L16" s="29">
        <f t="shared" si="13"/>
        <v>375000</v>
      </c>
      <c r="M16" s="29">
        <f t="shared" si="13"/>
        <v>375000</v>
      </c>
      <c r="N16" s="29">
        <f t="shared" si="13"/>
        <v>375000</v>
      </c>
      <c r="O16" s="29">
        <f t="shared" si="13"/>
        <v>375000</v>
      </c>
      <c r="P16" s="29">
        <f t="shared" si="13"/>
        <v>375000</v>
      </c>
      <c r="Q16" s="29">
        <f t="shared" si="13"/>
        <v>375000</v>
      </c>
      <c r="R16" s="29">
        <f t="shared" si="13"/>
        <v>375000</v>
      </c>
      <c r="S16" s="29">
        <f t="shared" si="13"/>
        <v>393750</v>
      </c>
      <c r="T16" s="29">
        <f t="shared" si="13"/>
        <v>393750</v>
      </c>
      <c r="U16" s="29">
        <f t="shared" si="13"/>
        <v>393750</v>
      </c>
      <c r="V16" s="29">
        <f t="shared" si="13"/>
        <v>393750</v>
      </c>
      <c r="W16" s="29">
        <f t="shared" si="13"/>
        <v>393750</v>
      </c>
      <c r="X16" s="29">
        <f t="shared" si="13"/>
        <v>393750</v>
      </c>
      <c r="Y16" s="29">
        <f t="shared" si="13"/>
        <v>393750</v>
      </c>
      <c r="Z16" s="29">
        <f t="shared" si="13"/>
        <v>393750</v>
      </c>
      <c r="AA16" s="29">
        <f t="shared" si="13"/>
        <v>393750</v>
      </c>
      <c r="AB16" s="29">
        <f t="shared" si="13"/>
        <v>393750</v>
      </c>
      <c r="AC16" s="29">
        <f t="shared" si="13"/>
        <v>393750</v>
      </c>
      <c r="AD16" s="29">
        <f t="shared" si="13"/>
        <v>393750</v>
      </c>
      <c r="AE16" s="29">
        <f t="shared" si="13"/>
        <v>409500</v>
      </c>
      <c r="AF16" s="29">
        <f t="shared" si="13"/>
        <v>409500</v>
      </c>
      <c r="AG16" s="29">
        <f t="shared" si="13"/>
        <v>409500</v>
      </c>
      <c r="AH16" s="29">
        <f t="shared" si="13"/>
        <v>409500</v>
      </c>
      <c r="AI16" s="29">
        <f t="shared" si="13"/>
        <v>409500</v>
      </c>
      <c r="AJ16" s="29">
        <f t="shared" si="13"/>
        <v>409500</v>
      </c>
      <c r="AK16" s="29">
        <f t="shared" si="13"/>
        <v>409500</v>
      </c>
      <c r="AL16" s="29">
        <f t="shared" si="13"/>
        <v>409500</v>
      </c>
      <c r="AM16" s="29">
        <f t="shared" ref="AM16:BR16" si="14">AM9*$D$5</f>
        <v>409500</v>
      </c>
      <c r="AN16" s="29">
        <f t="shared" si="14"/>
        <v>409500</v>
      </c>
      <c r="AO16" s="29">
        <f t="shared" si="14"/>
        <v>409500</v>
      </c>
      <c r="AP16" s="29">
        <f t="shared" si="14"/>
        <v>409500</v>
      </c>
      <c r="AQ16" s="29">
        <f t="shared" si="14"/>
        <v>421785</v>
      </c>
      <c r="AR16" s="29">
        <f t="shared" si="14"/>
        <v>421785</v>
      </c>
      <c r="AS16" s="29">
        <f t="shared" si="14"/>
        <v>421785</v>
      </c>
      <c r="AT16" s="29">
        <f t="shared" si="14"/>
        <v>421785</v>
      </c>
      <c r="AU16" s="29">
        <f t="shared" si="14"/>
        <v>421785</v>
      </c>
      <c r="AV16" s="29">
        <f t="shared" si="14"/>
        <v>421785</v>
      </c>
      <c r="AW16" s="29">
        <f t="shared" si="14"/>
        <v>421785</v>
      </c>
      <c r="AX16" s="29">
        <f t="shared" si="14"/>
        <v>421785</v>
      </c>
      <c r="AY16" s="29">
        <f t="shared" si="14"/>
        <v>421785</v>
      </c>
      <c r="AZ16" s="29">
        <f t="shared" si="14"/>
        <v>421785</v>
      </c>
      <c r="BA16" s="29">
        <f t="shared" si="14"/>
        <v>421785</v>
      </c>
      <c r="BB16" s="29">
        <f t="shared" si="14"/>
        <v>421785</v>
      </c>
      <c r="BC16" s="29">
        <f t="shared" si="14"/>
        <v>434438.55</v>
      </c>
      <c r="BD16" s="29">
        <f t="shared" si="14"/>
        <v>434438.55</v>
      </c>
      <c r="BE16" s="29">
        <f t="shared" si="14"/>
        <v>434438.55</v>
      </c>
      <c r="BF16" s="29">
        <f t="shared" si="14"/>
        <v>434438.55</v>
      </c>
      <c r="BG16" s="29">
        <f t="shared" si="14"/>
        <v>434438.55</v>
      </c>
      <c r="BH16" s="29">
        <f t="shared" si="14"/>
        <v>434438.55</v>
      </c>
      <c r="BI16" s="29">
        <f t="shared" si="14"/>
        <v>434438.55</v>
      </c>
      <c r="BJ16" s="29">
        <f t="shared" si="14"/>
        <v>434438.55</v>
      </c>
      <c r="BK16" s="29">
        <f t="shared" si="14"/>
        <v>434438.55</v>
      </c>
      <c r="BL16" s="29">
        <f t="shared" si="14"/>
        <v>434438.55</v>
      </c>
      <c r="BM16" s="29">
        <f t="shared" si="14"/>
        <v>434438.55</v>
      </c>
      <c r="BN16" s="29">
        <f t="shared" si="14"/>
        <v>434438.55</v>
      </c>
      <c r="BO16" s="29">
        <f t="shared" si="14"/>
        <v>447471.70650000003</v>
      </c>
      <c r="BP16" s="29">
        <f t="shared" si="14"/>
        <v>447471.70650000003</v>
      </c>
      <c r="BQ16" s="29">
        <f t="shared" si="14"/>
        <v>447471.70650000003</v>
      </c>
      <c r="BR16" s="29">
        <f t="shared" si="14"/>
        <v>447471.70650000003</v>
      </c>
      <c r="BS16" s="29">
        <f t="shared" ref="BS16:CX16" si="15">BS9*$D$5</f>
        <v>447471.70650000003</v>
      </c>
      <c r="BT16" s="29">
        <f t="shared" si="15"/>
        <v>447471.70650000003</v>
      </c>
      <c r="BU16" s="29">
        <f t="shared" si="15"/>
        <v>447471.70650000003</v>
      </c>
      <c r="BV16" s="29">
        <f t="shared" si="15"/>
        <v>447471.70650000003</v>
      </c>
      <c r="BW16" s="29">
        <f t="shared" si="15"/>
        <v>447471.70650000003</v>
      </c>
      <c r="BX16" s="29">
        <f t="shared" si="15"/>
        <v>447471.70650000003</v>
      </c>
      <c r="BY16" s="29">
        <f t="shared" si="15"/>
        <v>447471.70650000003</v>
      </c>
      <c r="BZ16" s="29">
        <f t="shared" si="15"/>
        <v>447471.70650000003</v>
      </c>
      <c r="CA16" s="29">
        <f t="shared" si="15"/>
        <v>460895.85769500001</v>
      </c>
      <c r="CB16" s="29">
        <f t="shared" si="15"/>
        <v>460895.85769500001</v>
      </c>
      <c r="CC16" s="29">
        <f t="shared" si="15"/>
        <v>460895.85769500001</v>
      </c>
      <c r="CD16" s="29">
        <f t="shared" si="15"/>
        <v>460895.85769500001</v>
      </c>
      <c r="CE16" s="29">
        <f t="shared" si="15"/>
        <v>460895.85769500001</v>
      </c>
      <c r="CF16" s="29">
        <f t="shared" si="15"/>
        <v>460895.85769500001</v>
      </c>
      <c r="CG16" s="29">
        <f t="shared" si="15"/>
        <v>460895.85769500001</v>
      </c>
      <c r="CH16" s="29">
        <f t="shared" si="15"/>
        <v>460895.85769500001</v>
      </c>
      <c r="CI16" s="29">
        <f t="shared" si="15"/>
        <v>460895.85769500001</v>
      </c>
      <c r="CJ16" s="29">
        <f t="shared" si="15"/>
        <v>460895.85769500001</v>
      </c>
      <c r="CK16" s="29">
        <f t="shared" si="15"/>
        <v>460895.85769500001</v>
      </c>
      <c r="CL16" s="29">
        <f t="shared" si="15"/>
        <v>460895.85769500001</v>
      </c>
      <c r="CM16" s="81">
        <f t="shared" si="15"/>
        <v>474722.73342584999</v>
      </c>
      <c r="CN16" s="81">
        <f t="shared" si="15"/>
        <v>474722.73342584999</v>
      </c>
      <c r="CO16" s="81">
        <f t="shared" si="15"/>
        <v>474722.73342584999</v>
      </c>
      <c r="CP16" s="81">
        <f t="shared" si="15"/>
        <v>474722.73342584999</v>
      </c>
      <c r="CQ16" s="81">
        <f t="shared" si="15"/>
        <v>474722.73342584999</v>
      </c>
      <c r="CR16" s="81">
        <f t="shared" si="15"/>
        <v>474722.73342584999</v>
      </c>
      <c r="CS16" s="81">
        <f t="shared" si="15"/>
        <v>474722.73342584999</v>
      </c>
      <c r="CT16" s="81">
        <f t="shared" si="15"/>
        <v>474722.73342584999</v>
      </c>
      <c r="CU16" s="81">
        <f t="shared" si="15"/>
        <v>474722.73342584999</v>
      </c>
      <c r="CV16" s="81">
        <f t="shared" si="15"/>
        <v>474722.73342584999</v>
      </c>
      <c r="CW16" s="81">
        <f t="shared" si="15"/>
        <v>474722.73342584999</v>
      </c>
      <c r="CX16" s="81">
        <f t="shared" si="15"/>
        <v>474722.73342584999</v>
      </c>
    </row>
    <row r="17" spans="2:103" ht="12.6" customHeight="1" x14ac:dyDescent="0.2">
      <c r="B17" s="117" t="s">
        <v>95</v>
      </c>
      <c r="D17" s="29">
        <f>Assumptions!L19</f>
        <v>93750</v>
      </c>
      <c r="E17" s="31"/>
      <c r="G17" s="29">
        <f t="shared" ref="G17:AL17" si="16">G11*$D$6</f>
        <v>7812.5000000000009</v>
      </c>
      <c r="H17" s="29">
        <f t="shared" si="16"/>
        <v>7812.5000000000009</v>
      </c>
      <c r="I17" s="29">
        <f t="shared" si="16"/>
        <v>7812.5000000000009</v>
      </c>
      <c r="J17" s="29">
        <f t="shared" si="16"/>
        <v>7812.5000000000009</v>
      </c>
      <c r="K17" s="29">
        <f t="shared" si="16"/>
        <v>7812.5000000000009</v>
      </c>
      <c r="L17" s="29">
        <f t="shared" si="16"/>
        <v>7812.5000000000009</v>
      </c>
      <c r="M17" s="29">
        <f t="shared" si="16"/>
        <v>7812.5000000000009</v>
      </c>
      <c r="N17" s="29">
        <f t="shared" si="16"/>
        <v>7812.5000000000009</v>
      </c>
      <c r="O17" s="29">
        <f t="shared" si="16"/>
        <v>7812.5000000000009</v>
      </c>
      <c r="P17" s="29">
        <f t="shared" si="16"/>
        <v>7812.5000000000009</v>
      </c>
      <c r="Q17" s="29">
        <f t="shared" si="16"/>
        <v>7812.5000000000009</v>
      </c>
      <c r="R17" s="29">
        <f t="shared" si="16"/>
        <v>7812.5000000000009</v>
      </c>
      <c r="S17" s="29">
        <f t="shared" si="16"/>
        <v>8203.1250000000018</v>
      </c>
      <c r="T17" s="29">
        <f t="shared" si="16"/>
        <v>8203.1250000000018</v>
      </c>
      <c r="U17" s="29">
        <f t="shared" si="16"/>
        <v>8203.1250000000018</v>
      </c>
      <c r="V17" s="29">
        <f t="shared" si="16"/>
        <v>8203.1250000000018</v>
      </c>
      <c r="W17" s="29">
        <f t="shared" si="16"/>
        <v>8203.1250000000018</v>
      </c>
      <c r="X17" s="29">
        <f t="shared" si="16"/>
        <v>8203.1250000000018</v>
      </c>
      <c r="Y17" s="29">
        <f t="shared" si="16"/>
        <v>8203.1250000000018</v>
      </c>
      <c r="Z17" s="29">
        <f t="shared" si="16"/>
        <v>8203.1250000000018</v>
      </c>
      <c r="AA17" s="29">
        <f t="shared" si="16"/>
        <v>8203.1250000000018</v>
      </c>
      <c r="AB17" s="29">
        <f t="shared" si="16"/>
        <v>8203.1250000000018</v>
      </c>
      <c r="AC17" s="29">
        <f t="shared" si="16"/>
        <v>8203.1250000000018</v>
      </c>
      <c r="AD17" s="29">
        <f t="shared" si="16"/>
        <v>8203.1250000000018</v>
      </c>
      <c r="AE17" s="29">
        <f t="shared" si="16"/>
        <v>8531.2500000000018</v>
      </c>
      <c r="AF17" s="29">
        <f t="shared" si="16"/>
        <v>8531.2500000000018</v>
      </c>
      <c r="AG17" s="29">
        <f t="shared" si="16"/>
        <v>8531.2500000000018</v>
      </c>
      <c r="AH17" s="29">
        <f t="shared" si="16"/>
        <v>8531.2500000000018</v>
      </c>
      <c r="AI17" s="29">
        <f t="shared" si="16"/>
        <v>8531.2500000000018</v>
      </c>
      <c r="AJ17" s="29">
        <f t="shared" si="16"/>
        <v>8531.2500000000018</v>
      </c>
      <c r="AK17" s="29">
        <f t="shared" si="16"/>
        <v>8531.2500000000018</v>
      </c>
      <c r="AL17" s="29">
        <f t="shared" si="16"/>
        <v>8531.2500000000018</v>
      </c>
      <c r="AM17" s="29">
        <f t="shared" ref="AM17:BR17" si="17">AM11*$D$6</f>
        <v>8531.2500000000018</v>
      </c>
      <c r="AN17" s="29">
        <f t="shared" si="17"/>
        <v>8531.2500000000018</v>
      </c>
      <c r="AO17" s="29">
        <f t="shared" si="17"/>
        <v>8531.2500000000018</v>
      </c>
      <c r="AP17" s="29">
        <f t="shared" si="17"/>
        <v>8531.2500000000018</v>
      </c>
      <c r="AQ17" s="29">
        <f t="shared" si="17"/>
        <v>8787.1875000000018</v>
      </c>
      <c r="AR17" s="29">
        <f t="shared" si="17"/>
        <v>8787.1875000000018</v>
      </c>
      <c r="AS17" s="29">
        <f t="shared" si="17"/>
        <v>8787.1875000000018</v>
      </c>
      <c r="AT17" s="29">
        <f t="shared" si="17"/>
        <v>8787.1875000000018</v>
      </c>
      <c r="AU17" s="29">
        <f t="shared" si="17"/>
        <v>8787.1875000000018</v>
      </c>
      <c r="AV17" s="29">
        <f t="shared" si="17"/>
        <v>8787.1875000000018</v>
      </c>
      <c r="AW17" s="29">
        <f t="shared" si="17"/>
        <v>8787.1875000000018</v>
      </c>
      <c r="AX17" s="29">
        <f t="shared" si="17"/>
        <v>8787.1875000000018</v>
      </c>
      <c r="AY17" s="29">
        <f t="shared" si="17"/>
        <v>8787.1875000000018</v>
      </c>
      <c r="AZ17" s="29">
        <f t="shared" si="17"/>
        <v>8787.1875000000018</v>
      </c>
      <c r="BA17" s="29">
        <f t="shared" si="17"/>
        <v>8787.1875000000018</v>
      </c>
      <c r="BB17" s="29">
        <f t="shared" si="17"/>
        <v>8787.1875000000018</v>
      </c>
      <c r="BC17" s="29">
        <f t="shared" si="17"/>
        <v>9050.8031250000022</v>
      </c>
      <c r="BD17" s="29">
        <f t="shared" si="17"/>
        <v>9050.8031250000022</v>
      </c>
      <c r="BE17" s="29">
        <f t="shared" si="17"/>
        <v>9050.8031250000022</v>
      </c>
      <c r="BF17" s="29">
        <f t="shared" si="17"/>
        <v>9050.8031250000022</v>
      </c>
      <c r="BG17" s="29">
        <f t="shared" si="17"/>
        <v>9050.8031250000022</v>
      </c>
      <c r="BH17" s="29">
        <f t="shared" si="17"/>
        <v>9050.8031250000022</v>
      </c>
      <c r="BI17" s="29">
        <f t="shared" si="17"/>
        <v>9050.8031250000022</v>
      </c>
      <c r="BJ17" s="29">
        <f t="shared" si="17"/>
        <v>9050.8031250000022</v>
      </c>
      <c r="BK17" s="29">
        <f t="shared" si="17"/>
        <v>9050.8031250000022</v>
      </c>
      <c r="BL17" s="29">
        <f t="shared" si="17"/>
        <v>9050.8031250000022</v>
      </c>
      <c r="BM17" s="29">
        <f t="shared" si="17"/>
        <v>9050.8031250000022</v>
      </c>
      <c r="BN17" s="29">
        <f t="shared" si="17"/>
        <v>9050.8031250000022</v>
      </c>
      <c r="BO17" s="29">
        <f t="shared" si="17"/>
        <v>9322.3272187500024</v>
      </c>
      <c r="BP17" s="29">
        <f t="shared" si="17"/>
        <v>9322.3272187500024</v>
      </c>
      <c r="BQ17" s="29">
        <f t="shared" si="17"/>
        <v>9322.3272187500024</v>
      </c>
      <c r="BR17" s="29">
        <f t="shared" si="17"/>
        <v>9322.3272187500024</v>
      </c>
      <c r="BS17" s="29">
        <f t="shared" ref="BS17:CX17" si="18">BS11*$D$6</f>
        <v>9322.3272187500024</v>
      </c>
      <c r="BT17" s="29">
        <f t="shared" si="18"/>
        <v>9322.3272187500024</v>
      </c>
      <c r="BU17" s="29">
        <f t="shared" si="18"/>
        <v>9322.3272187500024</v>
      </c>
      <c r="BV17" s="29">
        <f t="shared" si="18"/>
        <v>9322.3272187500024</v>
      </c>
      <c r="BW17" s="29">
        <f t="shared" si="18"/>
        <v>9322.3272187500024</v>
      </c>
      <c r="BX17" s="29">
        <f t="shared" si="18"/>
        <v>9322.3272187500024</v>
      </c>
      <c r="BY17" s="29">
        <f t="shared" si="18"/>
        <v>9322.3272187500024</v>
      </c>
      <c r="BZ17" s="29">
        <f t="shared" si="18"/>
        <v>9322.3272187500024</v>
      </c>
      <c r="CA17" s="29">
        <f t="shared" si="18"/>
        <v>9601.9970353125027</v>
      </c>
      <c r="CB17" s="29">
        <f t="shared" si="18"/>
        <v>9601.9970353125027</v>
      </c>
      <c r="CC17" s="29">
        <f t="shared" si="18"/>
        <v>9601.9970353125027</v>
      </c>
      <c r="CD17" s="29">
        <f t="shared" si="18"/>
        <v>9601.9970353125027</v>
      </c>
      <c r="CE17" s="29">
        <f t="shared" si="18"/>
        <v>9601.9970353125027</v>
      </c>
      <c r="CF17" s="29">
        <f t="shared" si="18"/>
        <v>9601.9970353125027</v>
      </c>
      <c r="CG17" s="29">
        <f t="shared" si="18"/>
        <v>9601.9970353125027</v>
      </c>
      <c r="CH17" s="29">
        <f t="shared" si="18"/>
        <v>9601.9970353125027</v>
      </c>
      <c r="CI17" s="29">
        <f t="shared" si="18"/>
        <v>9601.9970353125027</v>
      </c>
      <c r="CJ17" s="29">
        <f t="shared" si="18"/>
        <v>9601.9970353125027</v>
      </c>
      <c r="CK17" s="29">
        <f t="shared" si="18"/>
        <v>9601.9970353125027</v>
      </c>
      <c r="CL17" s="29">
        <f t="shared" si="18"/>
        <v>9601.9970353125027</v>
      </c>
      <c r="CM17" s="81">
        <f t="shared" si="18"/>
        <v>9890.0569463718784</v>
      </c>
      <c r="CN17" s="81">
        <f t="shared" si="18"/>
        <v>9890.0569463718784</v>
      </c>
      <c r="CO17" s="81">
        <f t="shared" si="18"/>
        <v>9890.0569463718784</v>
      </c>
      <c r="CP17" s="81">
        <f t="shared" si="18"/>
        <v>9890.0569463718784</v>
      </c>
      <c r="CQ17" s="81">
        <f t="shared" si="18"/>
        <v>9890.0569463718784</v>
      </c>
      <c r="CR17" s="81">
        <f t="shared" si="18"/>
        <v>9890.0569463718784</v>
      </c>
      <c r="CS17" s="81">
        <f t="shared" si="18"/>
        <v>9890.0569463718784</v>
      </c>
      <c r="CT17" s="81">
        <f t="shared" si="18"/>
        <v>9890.0569463718784</v>
      </c>
      <c r="CU17" s="81">
        <f t="shared" si="18"/>
        <v>9890.0569463718784</v>
      </c>
      <c r="CV17" s="81">
        <f t="shared" si="18"/>
        <v>9890.0569463718784</v>
      </c>
      <c r="CW17" s="81">
        <f t="shared" si="18"/>
        <v>9890.0569463718784</v>
      </c>
      <c r="CX17" s="81">
        <f t="shared" si="18"/>
        <v>9890.0569463718784</v>
      </c>
    </row>
    <row r="18" spans="2:103" ht="12.6" customHeight="1" x14ac:dyDescent="0.2">
      <c r="B18" s="117" t="s">
        <v>105</v>
      </c>
      <c r="D18" s="29">
        <f>Assumptions!L22</f>
        <v>125000</v>
      </c>
      <c r="E18" s="31"/>
      <c r="G18" s="29">
        <f>D18/12</f>
        <v>10416.666666666666</v>
      </c>
      <c r="H18" s="29">
        <f>G18*(1+INDEX(Assumptions!$C$43:$M$43,MATCH('DCF Model'!H5,Assumptions!$C$38:$M$38))*(H$5&lt;&gt;G$5))</f>
        <v>10416.666666666666</v>
      </c>
      <c r="I18" s="29">
        <f>H18*(1+INDEX(Assumptions!$C$43:$M$43,MATCH('DCF Model'!I5,Assumptions!$C$38:$M$38))*(I$5&lt;&gt;H$5))</f>
        <v>10416.666666666666</v>
      </c>
      <c r="J18" s="29">
        <f>I18*(1+INDEX(Assumptions!$C$43:$M$43,MATCH('DCF Model'!J5,Assumptions!$C$38:$M$38))*(J$5&lt;&gt;I$5))</f>
        <v>10416.666666666666</v>
      </c>
      <c r="K18" s="29">
        <f>J18*(1+INDEX(Assumptions!$C$43:$M$43,MATCH('DCF Model'!K5,Assumptions!$C$38:$M$38))*(K$5&lt;&gt;J$5))</f>
        <v>10416.666666666666</v>
      </c>
      <c r="L18" s="29">
        <f>K18*(1+INDEX(Assumptions!$C$43:$M$43,MATCH('DCF Model'!L5,Assumptions!$C$38:$M$38))*(L$5&lt;&gt;K$5))</f>
        <v>10416.666666666666</v>
      </c>
      <c r="M18" s="29">
        <f>L18*(1+INDEX(Assumptions!$C$43:$M$43,MATCH('DCF Model'!M5,Assumptions!$C$38:$M$38))*(M$5&lt;&gt;L$5))</f>
        <v>10416.666666666666</v>
      </c>
      <c r="N18" s="29">
        <f>M18*(1+INDEX(Assumptions!$C$43:$M$43,MATCH('DCF Model'!N5,Assumptions!$C$38:$M$38))*(N$5&lt;&gt;M$5))</f>
        <v>10416.666666666666</v>
      </c>
      <c r="O18" s="29">
        <f>N18*(1+INDEX(Assumptions!$C$43:$M$43,MATCH('DCF Model'!O5,Assumptions!$C$38:$M$38))*(O$5&lt;&gt;N$5))</f>
        <v>10416.666666666666</v>
      </c>
      <c r="P18" s="29">
        <f>O18*(1+INDEX(Assumptions!$C$43:$M$43,MATCH('DCF Model'!P5,Assumptions!$C$38:$M$38))*(P$5&lt;&gt;O$5))</f>
        <v>10416.666666666666</v>
      </c>
      <c r="Q18" s="29">
        <f>P18*(1+INDEX(Assumptions!$C$43:$M$43,MATCH('DCF Model'!Q5,Assumptions!$C$38:$M$38))*(Q$5&lt;&gt;P$5))</f>
        <v>10416.666666666666</v>
      </c>
      <c r="R18" s="29">
        <f>Q18*(1+INDEX(Assumptions!$C$43:$M$43,MATCH('DCF Model'!R5,Assumptions!$C$38:$M$38))*(R$5&lt;&gt;Q$5))</f>
        <v>10416.666666666666</v>
      </c>
      <c r="S18" s="29">
        <f>R18*(1+INDEX(Assumptions!$C$43:$M$43,MATCH('DCF Model'!S5,Assumptions!$C$38:$M$38))*(S$5&lt;&gt;R$5))</f>
        <v>10729.166666666666</v>
      </c>
      <c r="T18" s="29">
        <f>S18*(1+INDEX(Assumptions!$C$43:$M$43,MATCH('DCF Model'!T5,Assumptions!$C$38:$M$38))*(T$5&lt;&gt;S$5))</f>
        <v>10729.166666666666</v>
      </c>
      <c r="U18" s="29">
        <f>T18*(1+INDEX(Assumptions!$C$43:$M$43,MATCH('DCF Model'!U5,Assumptions!$C$38:$M$38))*(U$5&lt;&gt;T$5))</f>
        <v>10729.166666666666</v>
      </c>
      <c r="V18" s="29">
        <f>U18*(1+INDEX(Assumptions!$C$43:$M$43,MATCH('DCF Model'!V5,Assumptions!$C$38:$M$38))*(V$5&lt;&gt;U$5))</f>
        <v>10729.166666666666</v>
      </c>
      <c r="W18" s="29">
        <f>V18*(1+INDEX(Assumptions!$C$43:$M$43,MATCH('DCF Model'!W5,Assumptions!$C$38:$M$38))*(W$5&lt;&gt;V$5))</f>
        <v>10729.166666666666</v>
      </c>
      <c r="X18" s="29">
        <f>W18*(1+INDEX(Assumptions!$C$43:$M$43,MATCH('DCF Model'!X5,Assumptions!$C$38:$M$38))*(X$5&lt;&gt;W$5))</f>
        <v>10729.166666666666</v>
      </c>
      <c r="Y18" s="29">
        <f>X18*(1+INDEX(Assumptions!$C$43:$M$43,MATCH('DCF Model'!Y5,Assumptions!$C$38:$M$38))*(Y$5&lt;&gt;X$5))</f>
        <v>10729.166666666666</v>
      </c>
      <c r="Z18" s="29">
        <f>Y18*(1+INDEX(Assumptions!$C$43:$M$43,MATCH('DCF Model'!Z5,Assumptions!$C$38:$M$38))*(Z$5&lt;&gt;Y$5))</f>
        <v>10729.166666666666</v>
      </c>
      <c r="AA18" s="29">
        <f>Z18*(1+INDEX(Assumptions!$C$43:$M$43,MATCH('DCF Model'!AA5,Assumptions!$C$38:$M$38))*(AA$5&lt;&gt;Z$5))</f>
        <v>10729.166666666666</v>
      </c>
      <c r="AB18" s="29">
        <f>AA18*(1+INDEX(Assumptions!$C$43:$M$43,MATCH('DCF Model'!AB5,Assumptions!$C$38:$M$38))*(AB$5&lt;&gt;AA$5))</f>
        <v>10729.166666666666</v>
      </c>
      <c r="AC18" s="29">
        <f>AB18*(1+INDEX(Assumptions!$C$43:$M$43,MATCH('DCF Model'!AC5,Assumptions!$C$38:$M$38))*(AC$5&lt;&gt;AB$5))</f>
        <v>10729.166666666666</v>
      </c>
      <c r="AD18" s="29">
        <f>AC18*(1+INDEX(Assumptions!$C$43:$M$43,MATCH('DCF Model'!AD5,Assumptions!$C$38:$M$38))*(AD$5&lt;&gt;AC$5))</f>
        <v>10729.166666666666</v>
      </c>
      <c r="AE18" s="29">
        <f>AD18*(1+INDEX(Assumptions!$C$43:$M$43,MATCH('DCF Model'!AE5,Assumptions!$C$38:$M$38))*(AE$5&lt;&gt;AD$5))</f>
        <v>11051.041666666666</v>
      </c>
      <c r="AF18" s="29">
        <f>AE18*(1+INDEX(Assumptions!$C$43:$M$43,MATCH('DCF Model'!AF5,Assumptions!$C$38:$M$38))*(AF$5&lt;&gt;AE$5))</f>
        <v>11051.041666666666</v>
      </c>
      <c r="AG18" s="29">
        <f>AF18*(1+INDEX(Assumptions!$C$43:$M$43,MATCH('DCF Model'!AG5,Assumptions!$C$38:$M$38))*(AG$5&lt;&gt;AF$5))</f>
        <v>11051.041666666666</v>
      </c>
      <c r="AH18" s="29">
        <f>AG18*(1+INDEX(Assumptions!$C$43:$M$43,MATCH('DCF Model'!AH5,Assumptions!$C$38:$M$38))*(AH$5&lt;&gt;AG$5))</f>
        <v>11051.041666666666</v>
      </c>
      <c r="AI18" s="29">
        <f>AH18*(1+INDEX(Assumptions!$C$43:$M$43,MATCH('DCF Model'!AI5,Assumptions!$C$38:$M$38))*(AI$5&lt;&gt;AH$5))</f>
        <v>11051.041666666666</v>
      </c>
      <c r="AJ18" s="29">
        <f>AI18*(1+INDEX(Assumptions!$C$43:$M$43,MATCH('DCF Model'!AJ5,Assumptions!$C$38:$M$38))*(AJ$5&lt;&gt;AI$5))</f>
        <v>11051.041666666666</v>
      </c>
      <c r="AK18" s="29">
        <f>AJ18*(1+INDEX(Assumptions!$C$43:$M$43,MATCH('DCF Model'!AK5,Assumptions!$C$38:$M$38))*(AK$5&lt;&gt;AJ$5))</f>
        <v>11051.041666666666</v>
      </c>
      <c r="AL18" s="29">
        <f>AK18*(1+INDEX(Assumptions!$C$43:$M$43,MATCH('DCF Model'!AL5,Assumptions!$C$38:$M$38))*(AL$5&lt;&gt;AK$5))</f>
        <v>11051.041666666666</v>
      </c>
      <c r="AM18" s="29">
        <f>AL18*(1+INDEX(Assumptions!$C$43:$M$43,MATCH('DCF Model'!AM5,Assumptions!$C$38:$M$38))*(AM$5&lt;&gt;AL$5))</f>
        <v>11051.041666666666</v>
      </c>
      <c r="AN18" s="29">
        <f>AM18*(1+INDEX(Assumptions!$C$43:$M$43,MATCH('DCF Model'!AN5,Assumptions!$C$38:$M$38))*(AN$5&lt;&gt;AM$5))</f>
        <v>11051.041666666666</v>
      </c>
      <c r="AO18" s="29">
        <f>AN18*(1+INDEX(Assumptions!$C$43:$M$43,MATCH('DCF Model'!AO5,Assumptions!$C$38:$M$38))*(AO$5&lt;&gt;AN$5))</f>
        <v>11051.041666666666</v>
      </c>
      <c r="AP18" s="29">
        <f>AO18*(1+INDEX(Assumptions!$C$43:$M$43,MATCH('DCF Model'!AP5,Assumptions!$C$38:$M$38))*(AP$5&lt;&gt;AO$5))</f>
        <v>11051.041666666666</v>
      </c>
      <c r="AQ18" s="29">
        <f>AP18*(1+INDEX(Assumptions!$C$43:$M$43,MATCH('DCF Model'!AQ5,Assumptions!$C$38:$M$38))*(AQ$5&lt;&gt;AP$5))</f>
        <v>11382.572916666666</v>
      </c>
      <c r="AR18" s="29">
        <f>AQ18*(1+INDEX(Assumptions!$C$43:$M$43,MATCH('DCF Model'!AR5,Assumptions!$C$38:$M$38))*(AR$5&lt;&gt;AQ$5))</f>
        <v>11382.572916666666</v>
      </c>
      <c r="AS18" s="29">
        <f>AR18*(1+INDEX(Assumptions!$C$43:$M$43,MATCH('DCF Model'!AS5,Assumptions!$C$38:$M$38))*(AS$5&lt;&gt;AR$5))</f>
        <v>11382.572916666666</v>
      </c>
      <c r="AT18" s="29">
        <f>AS18*(1+INDEX(Assumptions!$C$43:$M$43,MATCH('DCF Model'!AT5,Assumptions!$C$38:$M$38))*(AT$5&lt;&gt;AS$5))</f>
        <v>11382.572916666666</v>
      </c>
      <c r="AU18" s="29">
        <f>AT18*(1+INDEX(Assumptions!$C$43:$M$43,MATCH('DCF Model'!AU5,Assumptions!$C$38:$M$38))*(AU$5&lt;&gt;AT$5))</f>
        <v>11382.572916666666</v>
      </c>
      <c r="AV18" s="29">
        <f>AU18*(1+INDEX(Assumptions!$C$43:$M$43,MATCH('DCF Model'!AV5,Assumptions!$C$38:$M$38))*(AV$5&lt;&gt;AU$5))</f>
        <v>11382.572916666666</v>
      </c>
      <c r="AW18" s="29">
        <f>AV18*(1+INDEX(Assumptions!$C$43:$M$43,MATCH('DCF Model'!AW5,Assumptions!$C$38:$M$38))*(AW$5&lt;&gt;AV$5))</f>
        <v>11382.572916666666</v>
      </c>
      <c r="AX18" s="29">
        <f>AW18*(1+INDEX(Assumptions!$C$43:$M$43,MATCH('DCF Model'!AX5,Assumptions!$C$38:$M$38))*(AX$5&lt;&gt;AW$5))</f>
        <v>11382.572916666666</v>
      </c>
      <c r="AY18" s="29">
        <f>AX18*(1+INDEX(Assumptions!$C$43:$M$43,MATCH('DCF Model'!AY5,Assumptions!$C$38:$M$38))*(AY$5&lt;&gt;AX$5))</f>
        <v>11382.572916666666</v>
      </c>
      <c r="AZ18" s="29">
        <f>AY18*(1+INDEX(Assumptions!$C$43:$M$43,MATCH('DCF Model'!AZ5,Assumptions!$C$38:$M$38))*(AZ$5&lt;&gt;AY$5))</f>
        <v>11382.572916666666</v>
      </c>
      <c r="BA18" s="29">
        <f>AZ18*(1+INDEX(Assumptions!$C$43:$M$43,MATCH('DCF Model'!BA5,Assumptions!$C$38:$M$38))*(BA$5&lt;&gt;AZ$5))</f>
        <v>11382.572916666666</v>
      </c>
      <c r="BB18" s="29">
        <f>BA18*(1+INDEX(Assumptions!$C$43:$M$43,MATCH('DCF Model'!BB5,Assumptions!$C$38:$M$38))*(BB$5&lt;&gt;BA$5))</f>
        <v>11382.572916666666</v>
      </c>
      <c r="BC18" s="29">
        <f>BB18*(1+INDEX(Assumptions!$C$43:$M$43,MATCH('DCF Model'!BC5,Assumptions!$C$38:$M$38))*(BC$5&lt;&gt;BB$5))</f>
        <v>11724.050104166667</v>
      </c>
      <c r="BD18" s="29">
        <f>BC18*(1+INDEX(Assumptions!$C$43:$M$43,MATCH('DCF Model'!BD5,Assumptions!$C$38:$M$38))*(BD$5&lt;&gt;BC$5))</f>
        <v>11724.050104166667</v>
      </c>
      <c r="BE18" s="29">
        <f>BD18*(1+INDEX(Assumptions!$C$43:$M$43,MATCH('DCF Model'!BE5,Assumptions!$C$38:$M$38))*(BE$5&lt;&gt;BD$5))</f>
        <v>11724.050104166667</v>
      </c>
      <c r="BF18" s="29">
        <f>BE18*(1+INDEX(Assumptions!$C$43:$M$43,MATCH('DCF Model'!BF5,Assumptions!$C$38:$M$38))*(BF$5&lt;&gt;BE$5))</f>
        <v>11724.050104166667</v>
      </c>
      <c r="BG18" s="29">
        <f>BF18*(1+INDEX(Assumptions!$C$43:$M$43,MATCH('DCF Model'!BG5,Assumptions!$C$38:$M$38))*(BG$5&lt;&gt;BF$5))</f>
        <v>11724.050104166667</v>
      </c>
      <c r="BH18" s="29">
        <f>BG18*(1+INDEX(Assumptions!$C$43:$M$43,MATCH('DCF Model'!BH5,Assumptions!$C$38:$M$38))*(BH$5&lt;&gt;BG$5))</f>
        <v>11724.050104166667</v>
      </c>
      <c r="BI18" s="29">
        <f>BH18*(1+INDEX(Assumptions!$C$43:$M$43,MATCH('DCF Model'!BI5,Assumptions!$C$38:$M$38))*(BI$5&lt;&gt;BH$5))</f>
        <v>11724.050104166667</v>
      </c>
      <c r="BJ18" s="29">
        <f>BI18*(1+INDEX(Assumptions!$C$43:$M$43,MATCH('DCF Model'!BJ5,Assumptions!$C$38:$M$38))*(BJ$5&lt;&gt;BI$5))</f>
        <v>11724.050104166667</v>
      </c>
      <c r="BK18" s="29">
        <f>BJ18*(1+INDEX(Assumptions!$C$43:$M$43,MATCH('DCF Model'!BK5,Assumptions!$C$38:$M$38))*(BK$5&lt;&gt;BJ$5))</f>
        <v>11724.050104166667</v>
      </c>
      <c r="BL18" s="29">
        <f>BK18*(1+INDEX(Assumptions!$C$43:$M$43,MATCH('DCF Model'!BL5,Assumptions!$C$38:$M$38))*(BL$5&lt;&gt;BK$5))</f>
        <v>11724.050104166667</v>
      </c>
      <c r="BM18" s="29">
        <f>BL18*(1+INDEX(Assumptions!$C$43:$M$43,MATCH('DCF Model'!BM5,Assumptions!$C$38:$M$38))*(BM$5&lt;&gt;BL$5))</f>
        <v>11724.050104166667</v>
      </c>
      <c r="BN18" s="29">
        <f>BM18*(1+INDEX(Assumptions!$C$43:$M$43,MATCH('DCF Model'!BN5,Assumptions!$C$38:$M$38))*(BN$5&lt;&gt;BM$5))</f>
        <v>11724.050104166667</v>
      </c>
      <c r="BO18" s="29">
        <f>BN18*(1+INDEX(Assumptions!$C$43:$M$43,MATCH('DCF Model'!BO5,Assumptions!$C$38:$M$38))*(BO$5&lt;&gt;BN$5))</f>
        <v>12075.771607291666</v>
      </c>
      <c r="BP18" s="29">
        <f>BO18*(1+INDEX(Assumptions!$C$43:$M$43,MATCH('DCF Model'!BP5,Assumptions!$C$38:$M$38))*(BP$5&lt;&gt;BO$5))</f>
        <v>12075.771607291666</v>
      </c>
      <c r="BQ18" s="29">
        <f>BP18*(1+INDEX(Assumptions!$C$43:$M$43,MATCH('DCF Model'!BQ5,Assumptions!$C$38:$M$38))*(BQ$5&lt;&gt;BP$5))</f>
        <v>12075.771607291666</v>
      </c>
      <c r="BR18" s="29">
        <f>BQ18*(1+INDEX(Assumptions!$C$43:$M$43,MATCH('DCF Model'!BR5,Assumptions!$C$38:$M$38))*(BR$5&lt;&gt;BQ$5))</f>
        <v>12075.771607291666</v>
      </c>
      <c r="BS18" s="29">
        <f>BR18*(1+INDEX(Assumptions!$C$43:$M$43,MATCH('DCF Model'!BS5,Assumptions!$C$38:$M$38))*(BS$5&lt;&gt;BR$5))</f>
        <v>12075.771607291666</v>
      </c>
      <c r="BT18" s="29">
        <f>BS18*(1+INDEX(Assumptions!$C$43:$M$43,MATCH('DCF Model'!BT5,Assumptions!$C$38:$M$38))*(BT$5&lt;&gt;BS$5))</f>
        <v>12075.771607291666</v>
      </c>
      <c r="BU18" s="29">
        <f>BT18*(1+INDEX(Assumptions!$C$43:$M$43,MATCH('DCF Model'!BU5,Assumptions!$C$38:$M$38))*(BU$5&lt;&gt;BT$5))</f>
        <v>12075.771607291666</v>
      </c>
      <c r="BV18" s="29">
        <f>BU18*(1+INDEX(Assumptions!$C$43:$M$43,MATCH('DCF Model'!BV5,Assumptions!$C$38:$M$38))*(BV$5&lt;&gt;BU$5))</f>
        <v>12075.771607291666</v>
      </c>
      <c r="BW18" s="29">
        <f>BV18*(1+INDEX(Assumptions!$C$43:$M$43,MATCH('DCF Model'!BW5,Assumptions!$C$38:$M$38))*(BW$5&lt;&gt;BV$5))</f>
        <v>12075.771607291666</v>
      </c>
      <c r="BX18" s="29">
        <f>BW18*(1+INDEX(Assumptions!$C$43:$M$43,MATCH('DCF Model'!BX5,Assumptions!$C$38:$M$38))*(BX$5&lt;&gt;BW$5))</f>
        <v>12075.771607291666</v>
      </c>
      <c r="BY18" s="29">
        <f>BX18*(1+INDEX(Assumptions!$C$43:$M$43,MATCH('DCF Model'!BY5,Assumptions!$C$38:$M$38))*(BY$5&lt;&gt;BX$5))</f>
        <v>12075.771607291666</v>
      </c>
      <c r="BZ18" s="29">
        <f>BY18*(1+INDEX(Assumptions!$C$43:$M$43,MATCH('DCF Model'!BZ5,Assumptions!$C$38:$M$38))*(BZ$5&lt;&gt;BY$5))</f>
        <v>12075.771607291666</v>
      </c>
      <c r="CA18" s="29">
        <f>BZ18*(1+INDEX(Assumptions!$C$43:$M$43,MATCH('DCF Model'!CA5,Assumptions!$C$38:$M$38))*(CA$5&lt;&gt;BZ$5))</f>
        <v>12438.044755510417</v>
      </c>
      <c r="CB18" s="29">
        <f>CA18*(1+INDEX(Assumptions!$C$43:$M$43,MATCH('DCF Model'!CB5,Assumptions!$C$38:$M$38))*(CB$5&lt;&gt;CA$5))</f>
        <v>12438.044755510417</v>
      </c>
      <c r="CC18" s="29">
        <f>CB18*(1+INDEX(Assumptions!$C$43:$M$43,MATCH('DCF Model'!CC5,Assumptions!$C$38:$M$38))*(CC$5&lt;&gt;CB$5))</f>
        <v>12438.044755510417</v>
      </c>
      <c r="CD18" s="29">
        <f>CC18*(1+INDEX(Assumptions!$C$43:$M$43,MATCH('DCF Model'!CD5,Assumptions!$C$38:$M$38))*(CD$5&lt;&gt;CC$5))</f>
        <v>12438.044755510417</v>
      </c>
      <c r="CE18" s="29">
        <f>CD18*(1+INDEX(Assumptions!$C$43:$M$43,MATCH('DCF Model'!CE5,Assumptions!$C$38:$M$38))*(CE$5&lt;&gt;CD$5))</f>
        <v>12438.044755510417</v>
      </c>
      <c r="CF18" s="29">
        <f>CE18*(1+INDEX(Assumptions!$C$43:$M$43,MATCH('DCF Model'!CF5,Assumptions!$C$38:$M$38))*(CF$5&lt;&gt;CE$5))</f>
        <v>12438.044755510417</v>
      </c>
      <c r="CG18" s="29">
        <f>CF18*(1+INDEX(Assumptions!$C$43:$M$43,MATCH('DCF Model'!CG5,Assumptions!$C$38:$M$38))*(CG$5&lt;&gt;CF$5))</f>
        <v>12438.044755510417</v>
      </c>
      <c r="CH18" s="29">
        <f>CG18*(1+INDEX(Assumptions!$C$43:$M$43,MATCH('DCF Model'!CH5,Assumptions!$C$38:$M$38))*(CH$5&lt;&gt;CG$5))</f>
        <v>12438.044755510417</v>
      </c>
      <c r="CI18" s="29">
        <f>CH18*(1+INDEX(Assumptions!$C$43:$M$43,MATCH('DCF Model'!CI5,Assumptions!$C$38:$M$38))*(CI$5&lt;&gt;CH$5))</f>
        <v>12438.044755510417</v>
      </c>
      <c r="CJ18" s="29">
        <f>CI18*(1+INDEX(Assumptions!$C$43:$M$43,MATCH('DCF Model'!CJ5,Assumptions!$C$38:$M$38))*(CJ$5&lt;&gt;CI$5))</f>
        <v>12438.044755510417</v>
      </c>
      <c r="CK18" s="29">
        <f>CJ18*(1+INDEX(Assumptions!$C$43:$M$43,MATCH('DCF Model'!CK5,Assumptions!$C$38:$M$38))*(CK$5&lt;&gt;CJ$5))</f>
        <v>12438.044755510417</v>
      </c>
      <c r="CL18" s="29">
        <f>CK18*(1+INDEX(Assumptions!$C$43:$M$43,MATCH('DCF Model'!CL5,Assumptions!$C$38:$M$38))*(CL$5&lt;&gt;CK$5))</f>
        <v>12438.044755510417</v>
      </c>
      <c r="CM18" s="81">
        <f>CL18*(1+INDEX(Assumptions!$C$43:$M$43,MATCH('DCF Model'!CM5,Assumptions!$C$38:$M$38))*(CM$5&lt;&gt;CL$5))</f>
        <v>12811.186098175729</v>
      </c>
      <c r="CN18" s="81">
        <f>CM18*(1+INDEX(Assumptions!$C$43:$M$43,MATCH('DCF Model'!CN5,Assumptions!$C$38:$M$38))*(CN$5&lt;&gt;CM$5))</f>
        <v>12811.186098175729</v>
      </c>
      <c r="CO18" s="81">
        <f>CN18*(1+INDEX(Assumptions!$C$43:$M$43,MATCH('DCF Model'!CO5,Assumptions!$C$38:$M$38))*(CO$5&lt;&gt;CN$5))</f>
        <v>12811.186098175729</v>
      </c>
      <c r="CP18" s="81">
        <f>CO18*(1+INDEX(Assumptions!$C$43:$M$43,MATCH('DCF Model'!CP5,Assumptions!$C$38:$M$38))*(CP$5&lt;&gt;CO$5))</f>
        <v>12811.186098175729</v>
      </c>
      <c r="CQ18" s="81">
        <f>CP18*(1+INDEX(Assumptions!$C$43:$M$43,MATCH('DCF Model'!CQ5,Assumptions!$C$38:$M$38))*(CQ$5&lt;&gt;CP$5))</f>
        <v>12811.186098175729</v>
      </c>
      <c r="CR18" s="81">
        <f>CQ18*(1+INDEX(Assumptions!$C$43:$M$43,MATCH('DCF Model'!CR5,Assumptions!$C$38:$M$38))*(CR$5&lt;&gt;CQ$5))</f>
        <v>12811.186098175729</v>
      </c>
      <c r="CS18" s="81">
        <f>CR18*(1+INDEX(Assumptions!$C$43:$M$43,MATCH('DCF Model'!CS5,Assumptions!$C$38:$M$38))*(CS$5&lt;&gt;CR$5))</f>
        <v>12811.186098175729</v>
      </c>
      <c r="CT18" s="81">
        <f>CS18*(1+INDEX(Assumptions!$C$43:$M$43,MATCH('DCF Model'!CT5,Assumptions!$C$38:$M$38))*(CT$5&lt;&gt;CS$5))</f>
        <v>12811.186098175729</v>
      </c>
      <c r="CU18" s="81">
        <f>CT18*(1+INDEX(Assumptions!$C$43:$M$43,MATCH('DCF Model'!CU5,Assumptions!$C$38:$M$38))*(CU$5&lt;&gt;CT$5))</f>
        <v>12811.186098175729</v>
      </c>
      <c r="CV18" s="81">
        <f>CU18*(1+INDEX(Assumptions!$C$43:$M$43,MATCH('DCF Model'!CV5,Assumptions!$C$38:$M$38))*(CV$5&lt;&gt;CU$5))</f>
        <v>12811.186098175729</v>
      </c>
      <c r="CW18" s="81">
        <f>CV18*(1+INDEX(Assumptions!$C$43:$M$43,MATCH('DCF Model'!CW5,Assumptions!$C$38:$M$38))*(CW$5&lt;&gt;CV$5))</f>
        <v>12811.186098175729</v>
      </c>
      <c r="CX18" s="81">
        <f>CW18*(1+INDEX(Assumptions!$C$43:$M$43,MATCH('DCF Model'!CX5,Assumptions!$C$38:$M$38))*(CX$5&lt;&gt;CW$5))</f>
        <v>12811.186098175729</v>
      </c>
    </row>
    <row r="19" spans="2:103" ht="12.6" customHeight="1" x14ac:dyDescent="0.2">
      <c r="B19" s="117" t="s">
        <v>104</v>
      </c>
      <c r="D19" s="29">
        <f>Assumptions!L21</f>
        <v>15000</v>
      </c>
      <c r="E19" s="31"/>
      <c r="F19" s="29"/>
      <c r="G19" s="29">
        <f>D19*(1+INDEX(Assumptions!$C$43:$M$43,MATCH(G5,Assumptions!$C$38:$M$38))*(G$5&lt;&gt;F$5))/12</f>
        <v>1287.5</v>
      </c>
      <c r="H19" s="29">
        <f>G19*(1+INDEX(Assumptions!$C$43:$M$43,MATCH(H5,Assumptions!$C$38:$M$38))*(H$5&lt;&gt;G$5))</f>
        <v>1287.5</v>
      </c>
      <c r="I19" s="29">
        <f>H19*(1+INDEX(Assumptions!$C$43:$M$43,MATCH(I5,Assumptions!$C$38:$M$38))*(I$5&lt;&gt;H$5))</f>
        <v>1287.5</v>
      </c>
      <c r="J19" s="29">
        <f>I19*(1+INDEX(Assumptions!$C$43:$M$43,MATCH(J5,Assumptions!$C$38:$M$38))*(J$5&lt;&gt;I$5))</f>
        <v>1287.5</v>
      </c>
      <c r="K19" s="29">
        <f>J19*(1+INDEX(Assumptions!$C$43:$M$43,MATCH(K5,Assumptions!$C$38:$M$38))*(K$5&lt;&gt;J$5))</f>
        <v>1287.5</v>
      </c>
      <c r="L19" s="29">
        <f>K19*(1+INDEX(Assumptions!$C$43:$M$43,MATCH(L5,Assumptions!$C$38:$M$38))*(L$5&lt;&gt;K$5))</f>
        <v>1287.5</v>
      </c>
      <c r="M19" s="29">
        <f>L19*(1+INDEX(Assumptions!$C$43:$M$43,MATCH(M5,Assumptions!$C$38:$M$38))*(M$5&lt;&gt;L$5))</f>
        <v>1287.5</v>
      </c>
      <c r="N19" s="29">
        <f>M19*(1+INDEX(Assumptions!$C$43:$M$43,MATCH(N5,Assumptions!$C$38:$M$38))*(N$5&lt;&gt;M$5))</f>
        <v>1287.5</v>
      </c>
      <c r="O19" s="29">
        <f>N19*(1+INDEX(Assumptions!$C$43:$M$43,MATCH(O5,Assumptions!$C$38:$M$38))*(O$5&lt;&gt;N$5))</f>
        <v>1287.5</v>
      </c>
      <c r="P19" s="29">
        <f>O19*(1+INDEX(Assumptions!$C$43:$M$43,MATCH(P5,Assumptions!$C$38:$M$38))*(P$5&lt;&gt;O$5))</f>
        <v>1287.5</v>
      </c>
      <c r="Q19" s="29">
        <f>P19*(1+INDEX(Assumptions!$C$43:$M$43,MATCH(Q5,Assumptions!$C$38:$M$38))*(Q$5&lt;&gt;P$5))</f>
        <v>1287.5</v>
      </c>
      <c r="R19" s="29">
        <f>Q19*(1+INDEX(Assumptions!$C$43:$M$43,MATCH(R5,Assumptions!$C$38:$M$38))*(R$5&lt;&gt;Q$5))</f>
        <v>1287.5</v>
      </c>
      <c r="S19" s="29">
        <f>R19*(1+INDEX(Assumptions!$C$43:$M$43,MATCH(S5,Assumptions!$C$38:$M$38))*(S$5&lt;&gt;R$5))</f>
        <v>1326.125</v>
      </c>
      <c r="T19" s="29">
        <f>S19*(1+INDEX(Assumptions!$C$43:$M$43,MATCH(T5,Assumptions!$C$38:$M$38))*(T$5&lt;&gt;S$5))</f>
        <v>1326.125</v>
      </c>
      <c r="U19" s="29">
        <f>T19*(1+INDEX(Assumptions!$C$43:$M$43,MATCH(U5,Assumptions!$C$38:$M$38))*(U$5&lt;&gt;T$5))</f>
        <v>1326.125</v>
      </c>
      <c r="V19" s="29">
        <f>U19*(1+INDEX(Assumptions!$C$43:$M$43,MATCH(V5,Assumptions!$C$38:$M$38))*(V$5&lt;&gt;U$5))</f>
        <v>1326.125</v>
      </c>
      <c r="W19" s="29">
        <f>V19*(1+INDEX(Assumptions!$C$43:$M$43,MATCH(W5,Assumptions!$C$38:$M$38))*(W$5&lt;&gt;V$5))</f>
        <v>1326.125</v>
      </c>
      <c r="X19" s="29">
        <f>W19*(1+INDEX(Assumptions!$C$43:$M$43,MATCH(X5,Assumptions!$C$38:$M$38))*(X$5&lt;&gt;W$5))</f>
        <v>1326.125</v>
      </c>
      <c r="Y19" s="29">
        <f>X19*(1+INDEX(Assumptions!$C$43:$M$43,MATCH(Y5,Assumptions!$C$38:$M$38))*(Y$5&lt;&gt;X$5))</f>
        <v>1326.125</v>
      </c>
      <c r="Z19" s="29">
        <f>Y19*(1+INDEX(Assumptions!$C$43:$M$43,MATCH(Z5,Assumptions!$C$38:$M$38))*(Z$5&lt;&gt;Y$5))</f>
        <v>1326.125</v>
      </c>
      <c r="AA19" s="29">
        <f>Z19*(1+INDEX(Assumptions!$C$43:$M$43,MATCH(AA5,Assumptions!$C$38:$M$38))*(AA$5&lt;&gt;Z$5))</f>
        <v>1326.125</v>
      </c>
      <c r="AB19" s="29">
        <f>AA19*(1+INDEX(Assumptions!$C$43:$M$43,MATCH(AB5,Assumptions!$C$38:$M$38))*(AB$5&lt;&gt;AA$5))</f>
        <v>1326.125</v>
      </c>
      <c r="AC19" s="29">
        <f>AB19*(1+INDEX(Assumptions!$C$43:$M$43,MATCH(AC5,Assumptions!$C$38:$M$38))*(AC$5&lt;&gt;AB$5))</f>
        <v>1326.125</v>
      </c>
      <c r="AD19" s="29">
        <f>AC19*(1+INDEX(Assumptions!$C$43:$M$43,MATCH(AD5,Assumptions!$C$38:$M$38))*(AD$5&lt;&gt;AC$5))</f>
        <v>1326.125</v>
      </c>
      <c r="AE19" s="29">
        <f>AD19*(1+INDEX(Assumptions!$C$43:$M$43,MATCH(AE5,Assumptions!$C$38:$M$38))*(AE$5&lt;&gt;AD$5))</f>
        <v>1365.9087500000001</v>
      </c>
      <c r="AF19" s="29">
        <f>AE19*(1+INDEX(Assumptions!$C$43:$M$43,MATCH(AF5,Assumptions!$C$38:$M$38))*(AF$5&lt;&gt;AE$5))</f>
        <v>1365.9087500000001</v>
      </c>
      <c r="AG19" s="29">
        <f>AF19*(1+INDEX(Assumptions!$C$43:$M$43,MATCH(AG5,Assumptions!$C$38:$M$38))*(AG$5&lt;&gt;AF$5))</f>
        <v>1365.9087500000001</v>
      </c>
      <c r="AH19" s="29">
        <f>AG19*(1+INDEX(Assumptions!$C$43:$M$43,MATCH(AH5,Assumptions!$C$38:$M$38))*(AH$5&lt;&gt;AG$5))</f>
        <v>1365.9087500000001</v>
      </c>
      <c r="AI19" s="29">
        <f>AH19*(1+INDEX(Assumptions!$C$43:$M$43,MATCH(AI5,Assumptions!$C$38:$M$38))*(AI$5&lt;&gt;AH$5))</f>
        <v>1365.9087500000001</v>
      </c>
      <c r="AJ19" s="29">
        <f>AI19*(1+INDEX(Assumptions!$C$43:$M$43,MATCH(AJ5,Assumptions!$C$38:$M$38))*(AJ$5&lt;&gt;AI$5))</f>
        <v>1365.9087500000001</v>
      </c>
      <c r="AK19" s="29">
        <f>AJ19*(1+INDEX(Assumptions!$C$43:$M$43,MATCH(AK5,Assumptions!$C$38:$M$38))*(AK$5&lt;&gt;AJ$5))</f>
        <v>1365.9087500000001</v>
      </c>
      <c r="AL19" s="29">
        <f>AK19*(1+INDEX(Assumptions!$C$43:$M$43,MATCH(AL5,Assumptions!$C$38:$M$38))*(AL$5&lt;&gt;AK$5))</f>
        <v>1365.9087500000001</v>
      </c>
      <c r="AM19" s="29">
        <f>AL19*(1+INDEX(Assumptions!$C$43:$M$43,MATCH(AM5,Assumptions!$C$38:$M$38))*(AM$5&lt;&gt;AL$5))</f>
        <v>1365.9087500000001</v>
      </c>
      <c r="AN19" s="29">
        <f>AM19*(1+INDEX(Assumptions!$C$43:$M$43,MATCH(AN5,Assumptions!$C$38:$M$38))*(AN$5&lt;&gt;AM$5))</f>
        <v>1365.9087500000001</v>
      </c>
      <c r="AO19" s="29">
        <f>AN19*(1+INDEX(Assumptions!$C$43:$M$43,MATCH(AO5,Assumptions!$C$38:$M$38))*(AO$5&lt;&gt;AN$5))</f>
        <v>1365.9087500000001</v>
      </c>
      <c r="AP19" s="29">
        <f>AO19*(1+INDEX(Assumptions!$C$43:$M$43,MATCH(AP5,Assumptions!$C$38:$M$38))*(AP$5&lt;&gt;AO$5))</f>
        <v>1365.9087500000001</v>
      </c>
      <c r="AQ19" s="29">
        <f>AP19*(1+INDEX(Assumptions!$C$43:$M$43,MATCH(AQ5,Assumptions!$C$38:$M$38))*(AQ$5&lt;&gt;AP$5))</f>
        <v>1406.8860125000001</v>
      </c>
      <c r="AR19" s="29">
        <f>AQ19*(1+INDEX(Assumptions!$C$43:$M$43,MATCH(AR5,Assumptions!$C$38:$M$38))*(AR$5&lt;&gt;AQ$5))</f>
        <v>1406.8860125000001</v>
      </c>
      <c r="AS19" s="29">
        <f>AR19*(1+INDEX(Assumptions!$C$43:$M$43,MATCH(AS5,Assumptions!$C$38:$M$38))*(AS$5&lt;&gt;AR$5))</f>
        <v>1406.8860125000001</v>
      </c>
      <c r="AT19" s="29">
        <f>AS19*(1+INDEX(Assumptions!$C$43:$M$43,MATCH(AT5,Assumptions!$C$38:$M$38))*(AT$5&lt;&gt;AS$5))</f>
        <v>1406.8860125000001</v>
      </c>
      <c r="AU19" s="29">
        <f>AT19*(1+INDEX(Assumptions!$C$43:$M$43,MATCH(AU5,Assumptions!$C$38:$M$38))*(AU$5&lt;&gt;AT$5))</f>
        <v>1406.8860125000001</v>
      </c>
      <c r="AV19" s="29">
        <f>AU19*(1+INDEX(Assumptions!$C$43:$M$43,MATCH(AV5,Assumptions!$C$38:$M$38))*(AV$5&lt;&gt;AU$5))</f>
        <v>1406.8860125000001</v>
      </c>
      <c r="AW19" s="29">
        <f>AV19*(1+INDEX(Assumptions!$C$43:$M$43,MATCH(AW5,Assumptions!$C$38:$M$38))*(AW$5&lt;&gt;AV$5))</f>
        <v>1406.8860125000001</v>
      </c>
      <c r="AX19" s="29">
        <f>AW19*(1+INDEX(Assumptions!$C$43:$M$43,MATCH(AX5,Assumptions!$C$38:$M$38))*(AX$5&lt;&gt;AW$5))</f>
        <v>1406.8860125000001</v>
      </c>
      <c r="AY19" s="29">
        <f>AX19*(1+INDEX(Assumptions!$C$43:$M$43,MATCH(AY5,Assumptions!$C$38:$M$38))*(AY$5&lt;&gt;AX$5))</f>
        <v>1406.8860125000001</v>
      </c>
      <c r="AZ19" s="29">
        <f>AY19*(1+INDEX(Assumptions!$C$43:$M$43,MATCH(AZ5,Assumptions!$C$38:$M$38))*(AZ$5&lt;&gt;AY$5))</f>
        <v>1406.8860125000001</v>
      </c>
      <c r="BA19" s="29">
        <f>AZ19*(1+INDEX(Assumptions!$C$43:$M$43,MATCH(BA5,Assumptions!$C$38:$M$38))*(BA$5&lt;&gt;AZ$5))</f>
        <v>1406.8860125000001</v>
      </c>
      <c r="BB19" s="29">
        <f>BA19*(1+INDEX(Assumptions!$C$43:$M$43,MATCH(BB5,Assumptions!$C$38:$M$38))*(BB$5&lt;&gt;BA$5))</f>
        <v>1406.8860125000001</v>
      </c>
      <c r="BC19" s="29">
        <f>BB19*(1+INDEX(Assumptions!$C$43:$M$43,MATCH(BC5,Assumptions!$C$38:$M$38))*(BC$5&lt;&gt;BB$5))</f>
        <v>1449.092592875</v>
      </c>
      <c r="BD19" s="29">
        <f>BC19*(1+INDEX(Assumptions!$C$43:$M$43,MATCH(BD5,Assumptions!$C$38:$M$38))*(BD$5&lt;&gt;BC$5))</f>
        <v>1449.092592875</v>
      </c>
      <c r="BE19" s="29">
        <f>BD19*(1+INDEX(Assumptions!$C$43:$M$43,MATCH(BE5,Assumptions!$C$38:$M$38))*(BE$5&lt;&gt;BD$5))</f>
        <v>1449.092592875</v>
      </c>
      <c r="BF19" s="29">
        <f>BE19*(1+INDEX(Assumptions!$C$43:$M$43,MATCH(BF5,Assumptions!$C$38:$M$38))*(BF$5&lt;&gt;BE$5))</f>
        <v>1449.092592875</v>
      </c>
      <c r="BG19" s="29">
        <f>BF19*(1+INDEX(Assumptions!$C$43:$M$43,MATCH(BG5,Assumptions!$C$38:$M$38))*(BG$5&lt;&gt;BF$5))</f>
        <v>1449.092592875</v>
      </c>
      <c r="BH19" s="29">
        <f>BG19*(1+INDEX(Assumptions!$C$43:$M$43,MATCH(BH5,Assumptions!$C$38:$M$38))*(BH$5&lt;&gt;BG$5))</f>
        <v>1449.092592875</v>
      </c>
      <c r="BI19" s="29">
        <f>BH19*(1+INDEX(Assumptions!$C$43:$M$43,MATCH(BI5,Assumptions!$C$38:$M$38))*(BI$5&lt;&gt;BH$5))</f>
        <v>1449.092592875</v>
      </c>
      <c r="BJ19" s="29">
        <f>BI19*(1+INDEX(Assumptions!$C$43:$M$43,MATCH(BJ5,Assumptions!$C$38:$M$38))*(BJ$5&lt;&gt;BI$5))</f>
        <v>1449.092592875</v>
      </c>
      <c r="BK19" s="29">
        <f>BJ19*(1+INDEX(Assumptions!$C$43:$M$43,MATCH(BK5,Assumptions!$C$38:$M$38))*(BK$5&lt;&gt;BJ$5))</f>
        <v>1449.092592875</v>
      </c>
      <c r="BL19" s="29">
        <f>BK19*(1+INDEX(Assumptions!$C$43:$M$43,MATCH(BL5,Assumptions!$C$38:$M$38))*(BL$5&lt;&gt;BK$5))</f>
        <v>1449.092592875</v>
      </c>
      <c r="BM19" s="29">
        <f>BL19*(1+INDEX(Assumptions!$C$43:$M$43,MATCH(BM5,Assumptions!$C$38:$M$38))*(BM$5&lt;&gt;BL$5))</f>
        <v>1449.092592875</v>
      </c>
      <c r="BN19" s="29">
        <f>BM19*(1+INDEX(Assumptions!$C$43:$M$43,MATCH(BN5,Assumptions!$C$38:$M$38))*(BN$5&lt;&gt;BM$5))</f>
        <v>1449.092592875</v>
      </c>
      <c r="BO19" s="29">
        <f>BN19*(1+INDEX(Assumptions!$C$43:$M$43,MATCH(BO5,Assumptions!$C$38:$M$38))*(BO$5&lt;&gt;BN$5))</f>
        <v>1492.56537066125</v>
      </c>
      <c r="BP19" s="29">
        <f>BO19*(1+INDEX(Assumptions!$C$43:$M$43,MATCH(BP5,Assumptions!$C$38:$M$38))*(BP$5&lt;&gt;BO$5))</f>
        <v>1492.56537066125</v>
      </c>
      <c r="BQ19" s="29">
        <f>BP19*(1+INDEX(Assumptions!$C$43:$M$43,MATCH(BQ5,Assumptions!$C$38:$M$38))*(BQ$5&lt;&gt;BP$5))</f>
        <v>1492.56537066125</v>
      </c>
      <c r="BR19" s="29">
        <f>BQ19*(1+INDEX(Assumptions!$C$43:$M$43,MATCH(BR5,Assumptions!$C$38:$M$38))*(BR$5&lt;&gt;BQ$5))</f>
        <v>1492.56537066125</v>
      </c>
      <c r="BS19" s="29">
        <f>BR19*(1+INDEX(Assumptions!$C$43:$M$43,MATCH(BS5,Assumptions!$C$38:$M$38))*(BS$5&lt;&gt;BR$5))</f>
        <v>1492.56537066125</v>
      </c>
      <c r="BT19" s="29">
        <f>BS19*(1+INDEX(Assumptions!$C$43:$M$43,MATCH(BT5,Assumptions!$C$38:$M$38))*(BT$5&lt;&gt;BS$5))</f>
        <v>1492.56537066125</v>
      </c>
      <c r="BU19" s="29">
        <f>BT19*(1+INDEX(Assumptions!$C$43:$M$43,MATCH(BU5,Assumptions!$C$38:$M$38))*(BU$5&lt;&gt;BT$5))</f>
        <v>1492.56537066125</v>
      </c>
      <c r="BV19" s="29">
        <f>BU19*(1+INDEX(Assumptions!$C$43:$M$43,MATCH(BV5,Assumptions!$C$38:$M$38))*(BV$5&lt;&gt;BU$5))</f>
        <v>1492.56537066125</v>
      </c>
      <c r="BW19" s="29">
        <f>BV19*(1+INDEX(Assumptions!$C$43:$M$43,MATCH(BW5,Assumptions!$C$38:$M$38))*(BW$5&lt;&gt;BV$5))</f>
        <v>1492.56537066125</v>
      </c>
      <c r="BX19" s="29">
        <f>BW19*(1+INDEX(Assumptions!$C$43:$M$43,MATCH(BX5,Assumptions!$C$38:$M$38))*(BX$5&lt;&gt;BW$5))</f>
        <v>1492.56537066125</v>
      </c>
      <c r="BY19" s="29">
        <f>BX19*(1+INDEX(Assumptions!$C$43:$M$43,MATCH(BY5,Assumptions!$C$38:$M$38))*(BY$5&lt;&gt;BX$5))</f>
        <v>1492.56537066125</v>
      </c>
      <c r="BZ19" s="29">
        <f>BY19*(1+INDEX(Assumptions!$C$43:$M$43,MATCH(BZ5,Assumptions!$C$38:$M$38))*(BZ$5&lt;&gt;BY$5))</f>
        <v>1492.56537066125</v>
      </c>
      <c r="CA19" s="29">
        <f>BZ19*(1+INDEX(Assumptions!$C$43:$M$43,MATCH(CA5,Assumptions!$C$38:$M$38))*(CA$5&lt;&gt;BZ$5))</f>
        <v>1537.3423317810875</v>
      </c>
      <c r="CB19" s="29">
        <f>CA19*(1+INDEX(Assumptions!$C$43:$M$43,MATCH(CB5,Assumptions!$C$38:$M$38))*(CB$5&lt;&gt;CA$5))</f>
        <v>1537.3423317810875</v>
      </c>
      <c r="CC19" s="29">
        <f>CB19*(1+INDEX(Assumptions!$C$43:$M$43,MATCH(CC5,Assumptions!$C$38:$M$38))*(CC$5&lt;&gt;CB$5))</f>
        <v>1537.3423317810875</v>
      </c>
      <c r="CD19" s="29">
        <f>CC19*(1+INDEX(Assumptions!$C$43:$M$43,MATCH(CD5,Assumptions!$C$38:$M$38))*(CD$5&lt;&gt;CC$5))</f>
        <v>1537.3423317810875</v>
      </c>
      <c r="CE19" s="29">
        <f>CD19*(1+INDEX(Assumptions!$C$43:$M$43,MATCH(CE5,Assumptions!$C$38:$M$38))*(CE$5&lt;&gt;CD$5))</f>
        <v>1537.3423317810875</v>
      </c>
      <c r="CF19" s="29">
        <f>CE19*(1+INDEX(Assumptions!$C$43:$M$43,MATCH(CF5,Assumptions!$C$38:$M$38))*(CF$5&lt;&gt;CE$5))</f>
        <v>1537.3423317810875</v>
      </c>
      <c r="CG19" s="29">
        <f>CF19*(1+INDEX(Assumptions!$C$43:$M$43,MATCH(CG5,Assumptions!$C$38:$M$38))*(CG$5&lt;&gt;CF$5))</f>
        <v>1537.3423317810875</v>
      </c>
      <c r="CH19" s="29">
        <f>CG19*(1+INDEX(Assumptions!$C$43:$M$43,MATCH(CH5,Assumptions!$C$38:$M$38))*(CH$5&lt;&gt;CG$5))</f>
        <v>1537.3423317810875</v>
      </c>
      <c r="CI19" s="29">
        <f>CH19*(1+INDEX(Assumptions!$C$43:$M$43,MATCH(CI5,Assumptions!$C$38:$M$38))*(CI$5&lt;&gt;CH$5))</f>
        <v>1537.3423317810875</v>
      </c>
      <c r="CJ19" s="29">
        <f>CI19*(1+INDEX(Assumptions!$C$43:$M$43,MATCH(CJ5,Assumptions!$C$38:$M$38))*(CJ$5&lt;&gt;CI$5))</f>
        <v>1537.3423317810875</v>
      </c>
      <c r="CK19" s="29">
        <f>CJ19*(1+INDEX(Assumptions!$C$43:$M$43,MATCH(CK5,Assumptions!$C$38:$M$38))*(CK$5&lt;&gt;CJ$5))</f>
        <v>1537.3423317810875</v>
      </c>
      <c r="CL19" s="29">
        <f>CK19*(1+INDEX(Assumptions!$C$43:$M$43,MATCH(CL5,Assumptions!$C$38:$M$38))*(CL$5&lt;&gt;CK$5))</f>
        <v>1537.3423317810875</v>
      </c>
      <c r="CM19" s="81">
        <f>CL19*(1+INDEX(Assumptions!$C$43:$M$43,MATCH('DCF Model'!CM5,Assumptions!$C$38:$M$38))*(CM$5&lt;&gt;CL$5))</f>
        <v>1583.4626017345201</v>
      </c>
      <c r="CN19" s="81">
        <f>CM19*(1+INDEX(Assumptions!$C$43:$M$43,MATCH('DCF Model'!CN5,Assumptions!$C$38:$M$38))*(CN$5&lt;&gt;CM$5))</f>
        <v>1583.4626017345201</v>
      </c>
      <c r="CO19" s="81">
        <f>CN19*(1+INDEX(Assumptions!$C$43:$M$43,MATCH('DCF Model'!CO5,Assumptions!$C$38:$M$38))*(CO$5&lt;&gt;CN$5))</f>
        <v>1583.4626017345201</v>
      </c>
      <c r="CP19" s="81">
        <f>CO19*(1+INDEX(Assumptions!$C$43:$M$43,MATCH('DCF Model'!CP5,Assumptions!$C$38:$M$38))*(CP$5&lt;&gt;CO$5))</f>
        <v>1583.4626017345201</v>
      </c>
      <c r="CQ19" s="81">
        <f>CP19*(1+INDEX(Assumptions!$C$43:$M$43,MATCH('DCF Model'!CQ5,Assumptions!$C$38:$M$38))*(CQ$5&lt;&gt;CP$5))</f>
        <v>1583.4626017345201</v>
      </c>
      <c r="CR19" s="81">
        <f>CQ19*(1+INDEX(Assumptions!$C$43:$M$43,MATCH('DCF Model'!CR5,Assumptions!$C$38:$M$38))*(CR$5&lt;&gt;CQ$5))</f>
        <v>1583.4626017345201</v>
      </c>
      <c r="CS19" s="81">
        <f>CR19*(1+INDEX(Assumptions!$C$43:$M$43,MATCH('DCF Model'!CS5,Assumptions!$C$38:$M$38))*(CS$5&lt;&gt;CR$5))</f>
        <v>1583.4626017345201</v>
      </c>
      <c r="CT19" s="81">
        <f>CS19*(1+INDEX(Assumptions!$C$43:$M$43,MATCH('DCF Model'!CT5,Assumptions!$C$38:$M$38))*(CT$5&lt;&gt;CS$5))</f>
        <v>1583.4626017345201</v>
      </c>
      <c r="CU19" s="81">
        <f>CT19*(1+INDEX(Assumptions!$C$43:$M$43,MATCH('DCF Model'!CU5,Assumptions!$C$38:$M$38))*(CU$5&lt;&gt;CT$5))</f>
        <v>1583.4626017345201</v>
      </c>
      <c r="CV19" s="81">
        <f>CU19*(1+INDEX(Assumptions!$C$43:$M$43,MATCH('DCF Model'!CV5,Assumptions!$C$38:$M$38))*(CV$5&lt;&gt;CU$5))</f>
        <v>1583.4626017345201</v>
      </c>
      <c r="CW19" s="81">
        <f>CV19*(1+INDEX(Assumptions!$C$43:$M$43,MATCH('DCF Model'!CW5,Assumptions!$C$38:$M$38))*(CW$5&lt;&gt;CV$5))</f>
        <v>1583.4626017345201</v>
      </c>
      <c r="CX19" s="81">
        <f>CW19*(1+INDEX(Assumptions!$C$43:$M$43,MATCH('DCF Model'!CX5,Assumptions!$C$38:$M$38))*(CX$5&lt;&gt;CW$5))</f>
        <v>1583.4626017345201</v>
      </c>
    </row>
    <row r="20" spans="2:103" ht="12.6" customHeight="1" x14ac:dyDescent="0.2">
      <c r="B20" s="117" t="s">
        <v>19</v>
      </c>
      <c r="D20" s="40">
        <f>Assumptions!L18</f>
        <v>-15000</v>
      </c>
      <c r="E20" s="31"/>
      <c r="G20" s="40">
        <f>-INDEX(Assumptions!$C$40:$M$40,MATCH('DCF Model'!G5,Assumptions!$C$38:$M$38))*G16</f>
        <v>-2812.5</v>
      </c>
      <c r="H20" s="40">
        <f>-INDEX(Assumptions!$C$40:$M$40,MATCH('DCF Model'!H5,Assumptions!$C$38:$M$38))*H16</f>
        <v>-2812.5</v>
      </c>
      <c r="I20" s="40">
        <f>-INDEX(Assumptions!$C$40:$M$40,MATCH('DCF Model'!I5,Assumptions!$C$38:$M$38))*I16</f>
        <v>-2812.5</v>
      </c>
      <c r="J20" s="40">
        <f>-INDEX(Assumptions!$C$40:$M$40,MATCH('DCF Model'!J5,Assumptions!$C$38:$M$38))*J16</f>
        <v>-2812.5</v>
      </c>
      <c r="K20" s="40">
        <f>-INDEX(Assumptions!$C$40:$M$40,MATCH('DCF Model'!K5,Assumptions!$C$38:$M$38))*K16</f>
        <v>-2812.5</v>
      </c>
      <c r="L20" s="40">
        <f>-INDEX(Assumptions!$C$40:$M$40,MATCH('DCF Model'!L5,Assumptions!$C$38:$M$38))*L16</f>
        <v>-2812.5</v>
      </c>
      <c r="M20" s="40">
        <f>-INDEX(Assumptions!$C$40:$M$40,MATCH('DCF Model'!M5,Assumptions!$C$38:$M$38))*M16</f>
        <v>-2812.5</v>
      </c>
      <c r="N20" s="40">
        <f>-INDEX(Assumptions!$C$40:$M$40,MATCH('DCF Model'!N5,Assumptions!$C$38:$M$38))*N16</f>
        <v>-2812.5</v>
      </c>
      <c r="O20" s="40">
        <f>-INDEX(Assumptions!$C$40:$M$40,MATCH('DCF Model'!O5,Assumptions!$C$38:$M$38))*O16</f>
        <v>-2812.5</v>
      </c>
      <c r="P20" s="40">
        <f>-INDEX(Assumptions!$C$40:$M$40,MATCH('DCF Model'!P5,Assumptions!$C$38:$M$38))*P16</f>
        <v>-2812.5</v>
      </c>
      <c r="Q20" s="40">
        <f>-INDEX(Assumptions!$C$40:$M$40,MATCH('DCF Model'!Q5,Assumptions!$C$38:$M$38))*Q16</f>
        <v>-2812.5</v>
      </c>
      <c r="R20" s="40">
        <f>-INDEX(Assumptions!$C$40:$M$40,MATCH('DCF Model'!R5,Assumptions!$C$38:$M$38))*R16</f>
        <v>-2812.5</v>
      </c>
      <c r="S20" s="40">
        <f>-INDEX(Assumptions!$C$40:$M$40,MATCH('DCF Model'!S5,Assumptions!$C$38:$M$38))*S16</f>
        <v>-3937.5</v>
      </c>
      <c r="T20" s="40">
        <f>-INDEX(Assumptions!$C$40:$M$40,MATCH('DCF Model'!T5,Assumptions!$C$38:$M$38))*T16</f>
        <v>-3937.5</v>
      </c>
      <c r="U20" s="40">
        <f>-INDEX(Assumptions!$C$40:$M$40,MATCH('DCF Model'!U5,Assumptions!$C$38:$M$38))*U16</f>
        <v>-3937.5</v>
      </c>
      <c r="V20" s="40">
        <f>-INDEX(Assumptions!$C$40:$M$40,MATCH('DCF Model'!V5,Assumptions!$C$38:$M$38))*V16</f>
        <v>-3937.5</v>
      </c>
      <c r="W20" s="40">
        <f>-INDEX(Assumptions!$C$40:$M$40,MATCH('DCF Model'!W5,Assumptions!$C$38:$M$38))*W16</f>
        <v>-3937.5</v>
      </c>
      <c r="X20" s="40">
        <f>-INDEX(Assumptions!$C$40:$M$40,MATCH('DCF Model'!X5,Assumptions!$C$38:$M$38))*X16</f>
        <v>-3937.5</v>
      </c>
      <c r="Y20" s="40">
        <f>-INDEX(Assumptions!$C$40:$M$40,MATCH('DCF Model'!Y5,Assumptions!$C$38:$M$38))*Y16</f>
        <v>-3937.5</v>
      </c>
      <c r="Z20" s="40">
        <f>-INDEX(Assumptions!$C$40:$M$40,MATCH('DCF Model'!Z5,Assumptions!$C$38:$M$38))*Z16</f>
        <v>-3937.5</v>
      </c>
      <c r="AA20" s="40">
        <f>-INDEX(Assumptions!$C$40:$M$40,MATCH('DCF Model'!AA5,Assumptions!$C$38:$M$38))*AA16</f>
        <v>-3937.5</v>
      </c>
      <c r="AB20" s="40">
        <f>-INDEX(Assumptions!$C$40:$M$40,MATCH('DCF Model'!AB5,Assumptions!$C$38:$M$38))*AB16</f>
        <v>-3937.5</v>
      </c>
      <c r="AC20" s="40">
        <f>-INDEX(Assumptions!$C$40:$M$40,MATCH('DCF Model'!AC5,Assumptions!$C$38:$M$38))*AC16</f>
        <v>-3937.5</v>
      </c>
      <c r="AD20" s="40">
        <f>-INDEX(Assumptions!$C$40:$M$40,MATCH('DCF Model'!AD5,Assumptions!$C$38:$M$38))*AD16</f>
        <v>-3937.5</v>
      </c>
      <c r="AE20" s="40">
        <f>-INDEX(Assumptions!$C$40:$M$40,MATCH('DCF Model'!AE5,Assumptions!$C$38:$M$38))*AE16</f>
        <v>-4095</v>
      </c>
      <c r="AF20" s="40">
        <f>-INDEX(Assumptions!$C$40:$M$40,MATCH('DCF Model'!AF5,Assumptions!$C$38:$M$38))*AF16</f>
        <v>-4095</v>
      </c>
      <c r="AG20" s="40">
        <f>-INDEX(Assumptions!$C$40:$M$40,MATCH('DCF Model'!AG5,Assumptions!$C$38:$M$38))*AG16</f>
        <v>-4095</v>
      </c>
      <c r="AH20" s="40">
        <f>-INDEX(Assumptions!$C$40:$M$40,MATCH('DCF Model'!AH5,Assumptions!$C$38:$M$38))*AH16</f>
        <v>-4095</v>
      </c>
      <c r="AI20" s="40">
        <f>-INDEX(Assumptions!$C$40:$M$40,MATCH('DCF Model'!AI5,Assumptions!$C$38:$M$38))*AI16</f>
        <v>-4095</v>
      </c>
      <c r="AJ20" s="40">
        <f>-INDEX(Assumptions!$C$40:$M$40,MATCH('DCF Model'!AJ5,Assumptions!$C$38:$M$38))*AJ16</f>
        <v>-4095</v>
      </c>
      <c r="AK20" s="40">
        <f>-INDEX(Assumptions!$C$40:$M$40,MATCH('DCF Model'!AK5,Assumptions!$C$38:$M$38))*AK16</f>
        <v>-4095</v>
      </c>
      <c r="AL20" s="40">
        <f>-INDEX(Assumptions!$C$40:$M$40,MATCH('DCF Model'!AL5,Assumptions!$C$38:$M$38))*AL16</f>
        <v>-4095</v>
      </c>
      <c r="AM20" s="40">
        <f>-INDEX(Assumptions!$C$40:$M$40,MATCH('DCF Model'!AM5,Assumptions!$C$38:$M$38))*AM16</f>
        <v>-4095</v>
      </c>
      <c r="AN20" s="40">
        <f>-INDEX(Assumptions!$C$40:$M$40,MATCH('DCF Model'!AN5,Assumptions!$C$38:$M$38))*AN16</f>
        <v>-4095</v>
      </c>
      <c r="AO20" s="40">
        <f>-INDEX(Assumptions!$C$40:$M$40,MATCH('DCF Model'!AO5,Assumptions!$C$38:$M$38))*AO16</f>
        <v>-4095</v>
      </c>
      <c r="AP20" s="40">
        <f>-INDEX(Assumptions!$C$40:$M$40,MATCH('DCF Model'!AP5,Assumptions!$C$38:$M$38))*AP16</f>
        <v>-4095</v>
      </c>
      <c r="AQ20" s="40">
        <f>-INDEX(Assumptions!$C$40:$M$40,MATCH('DCF Model'!AQ5,Assumptions!$C$38:$M$38))*AQ16</f>
        <v>-4217.8500000000004</v>
      </c>
      <c r="AR20" s="40">
        <f>-INDEX(Assumptions!$C$40:$M$40,MATCH('DCF Model'!AR5,Assumptions!$C$38:$M$38))*AR16</f>
        <v>-4217.8500000000004</v>
      </c>
      <c r="AS20" s="40">
        <f>-INDEX(Assumptions!$C$40:$M$40,MATCH('DCF Model'!AS5,Assumptions!$C$38:$M$38))*AS16</f>
        <v>-4217.8500000000004</v>
      </c>
      <c r="AT20" s="40">
        <f>-INDEX(Assumptions!$C$40:$M$40,MATCH('DCF Model'!AT5,Assumptions!$C$38:$M$38))*AT16</f>
        <v>-4217.8500000000004</v>
      </c>
      <c r="AU20" s="40">
        <f>-INDEX(Assumptions!$C$40:$M$40,MATCH('DCF Model'!AU5,Assumptions!$C$38:$M$38))*AU16</f>
        <v>-4217.8500000000004</v>
      </c>
      <c r="AV20" s="40">
        <f>-INDEX(Assumptions!$C$40:$M$40,MATCH('DCF Model'!AV5,Assumptions!$C$38:$M$38))*AV16</f>
        <v>-4217.8500000000004</v>
      </c>
      <c r="AW20" s="40">
        <f>-INDEX(Assumptions!$C$40:$M$40,MATCH('DCF Model'!AW5,Assumptions!$C$38:$M$38))*AW16</f>
        <v>-4217.8500000000004</v>
      </c>
      <c r="AX20" s="40">
        <f>-INDEX(Assumptions!$C$40:$M$40,MATCH('DCF Model'!AX5,Assumptions!$C$38:$M$38))*AX16</f>
        <v>-4217.8500000000004</v>
      </c>
      <c r="AY20" s="40">
        <f>-INDEX(Assumptions!$C$40:$M$40,MATCH('DCF Model'!AY5,Assumptions!$C$38:$M$38))*AY16</f>
        <v>-4217.8500000000004</v>
      </c>
      <c r="AZ20" s="40">
        <f>-INDEX(Assumptions!$C$40:$M$40,MATCH('DCF Model'!AZ5,Assumptions!$C$38:$M$38))*AZ16</f>
        <v>-4217.8500000000004</v>
      </c>
      <c r="BA20" s="40">
        <f>-INDEX(Assumptions!$C$40:$M$40,MATCH('DCF Model'!BA5,Assumptions!$C$38:$M$38))*BA16</f>
        <v>-4217.8500000000004</v>
      </c>
      <c r="BB20" s="40">
        <f>-INDEX(Assumptions!$C$40:$M$40,MATCH('DCF Model'!BB5,Assumptions!$C$38:$M$38))*BB16</f>
        <v>-4217.8500000000004</v>
      </c>
      <c r="BC20" s="40">
        <f>-INDEX(Assumptions!$C$40:$M$40,MATCH('DCF Model'!BC5,Assumptions!$C$38:$M$38))*BC16</f>
        <v>-4344.3855000000003</v>
      </c>
      <c r="BD20" s="40">
        <f>-INDEX(Assumptions!$C$40:$M$40,MATCH('DCF Model'!BD5,Assumptions!$C$38:$M$38))*BD16</f>
        <v>-4344.3855000000003</v>
      </c>
      <c r="BE20" s="40">
        <f>-INDEX(Assumptions!$C$40:$M$40,MATCH('DCF Model'!BE5,Assumptions!$C$38:$M$38))*BE16</f>
        <v>-4344.3855000000003</v>
      </c>
      <c r="BF20" s="40">
        <f>-INDEX(Assumptions!$C$40:$M$40,MATCH('DCF Model'!BF5,Assumptions!$C$38:$M$38))*BF16</f>
        <v>-4344.3855000000003</v>
      </c>
      <c r="BG20" s="40">
        <f>-INDEX(Assumptions!$C$40:$M$40,MATCH('DCF Model'!BG5,Assumptions!$C$38:$M$38))*BG16</f>
        <v>-4344.3855000000003</v>
      </c>
      <c r="BH20" s="40">
        <f>-INDEX(Assumptions!$C$40:$M$40,MATCH('DCF Model'!BH5,Assumptions!$C$38:$M$38))*BH16</f>
        <v>-4344.3855000000003</v>
      </c>
      <c r="BI20" s="40">
        <f>-INDEX(Assumptions!$C$40:$M$40,MATCH('DCF Model'!BI5,Assumptions!$C$38:$M$38))*BI16</f>
        <v>-4344.3855000000003</v>
      </c>
      <c r="BJ20" s="40">
        <f>-INDEX(Assumptions!$C$40:$M$40,MATCH('DCF Model'!BJ5,Assumptions!$C$38:$M$38))*BJ16</f>
        <v>-4344.3855000000003</v>
      </c>
      <c r="BK20" s="40">
        <f>-INDEX(Assumptions!$C$40:$M$40,MATCH('DCF Model'!BK5,Assumptions!$C$38:$M$38))*BK16</f>
        <v>-4344.3855000000003</v>
      </c>
      <c r="BL20" s="40">
        <f>-INDEX(Assumptions!$C$40:$M$40,MATCH('DCF Model'!BL5,Assumptions!$C$38:$M$38))*BL16</f>
        <v>-4344.3855000000003</v>
      </c>
      <c r="BM20" s="40">
        <f>-INDEX(Assumptions!$C$40:$M$40,MATCH('DCF Model'!BM5,Assumptions!$C$38:$M$38))*BM16</f>
        <v>-4344.3855000000003</v>
      </c>
      <c r="BN20" s="40">
        <f>-INDEX(Assumptions!$C$40:$M$40,MATCH('DCF Model'!BN5,Assumptions!$C$38:$M$38))*BN16</f>
        <v>-4344.3855000000003</v>
      </c>
      <c r="BO20" s="40">
        <f>-INDEX(Assumptions!$C$40:$M$40,MATCH('DCF Model'!BO5,Assumptions!$C$38:$M$38))*BO16</f>
        <v>-4474.7170650000007</v>
      </c>
      <c r="BP20" s="40">
        <f>-INDEX(Assumptions!$C$40:$M$40,MATCH('DCF Model'!BP5,Assumptions!$C$38:$M$38))*BP16</f>
        <v>-4474.7170650000007</v>
      </c>
      <c r="BQ20" s="40">
        <f>-INDEX(Assumptions!$C$40:$M$40,MATCH('DCF Model'!BQ5,Assumptions!$C$38:$M$38))*BQ16</f>
        <v>-4474.7170650000007</v>
      </c>
      <c r="BR20" s="40">
        <f>-INDEX(Assumptions!$C$40:$M$40,MATCH('DCF Model'!BR5,Assumptions!$C$38:$M$38))*BR16</f>
        <v>-4474.7170650000007</v>
      </c>
      <c r="BS20" s="40">
        <f>-INDEX(Assumptions!$C$40:$M$40,MATCH('DCF Model'!BS5,Assumptions!$C$38:$M$38))*BS16</f>
        <v>-4474.7170650000007</v>
      </c>
      <c r="BT20" s="40">
        <f>-INDEX(Assumptions!$C$40:$M$40,MATCH('DCF Model'!BT5,Assumptions!$C$38:$M$38))*BT16</f>
        <v>-4474.7170650000007</v>
      </c>
      <c r="BU20" s="40">
        <f>-INDEX(Assumptions!$C$40:$M$40,MATCH('DCF Model'!BU5,Assumptions!$C$38:$M$38))*BU16</f>
        <v>-4474.7170650000007</v>
      </c>
      <c r="BV20" s="40">
        <f>-INDEX(Assumptions!$C$40:$M$40,MATCH('DCF Model'!BV5,Assumptions!$C$38:$M$38))*BV16</f>
        <v>-4474.7170650000007</v>
      </c>
      <c r="BW20" s="40">
        <f>-INDEX(Assumptions!$C$40:$M$40,MATCH('DCF Model'!BW5,Assumptions!$C$38:$M$38))*BW16</f>
        <v>-4474.7170650000007</v>
      </c>
      <c r="BX20" s="40">
        <f>-INDEX(Assumptions!$C$40:$M$40,MATCH('DCF Model'!BX5,Assumptions!$C$38:$M$38))*BX16</f>
        <v>-4474.7170650000007</v>
      </c>
      <c r="BY20" s="40">
        <f>-INDEX(Assumptions!$C$40:$M$40,MATCH('DCF Model'!BY5,Assumptions!$C$38:$M$38))*BY16</f>
        <v>-4474.7170650000007</v>
      </c>
      <c r="BZ20" s="40">
        <f>-INDEX(Assumptions!$C$40:$M$40,MATCH('DCF Model'!BZ5,Assumptions!$C$38:$M$38))*BZ16</f>
        <v>-4474.7170650000007</v>
      </c>
      <c r="CA20" s="40">
        <f>-INDEX(Assumptions!$C$40:$M$40,MATCH('DCF Model'!CA5,Assumptions!$C$38:$M$38))*CA16</f>
        <v>-4608.95857695</v>
      </c>
      <c r="CB20" s="40">
        <f>-INDEX(Assumptions!$C$40:$M$40,MATCH('DCF Model'!CB5,Assumptions!$C$38:$M$38))*CB16</f>
        <v>-4608.95857695</v>
      </c>
      <c r="CC20" s="40">
        <f>-INDEX(Assumptions!$C$40:$M$40,MATCH('DCF Model'!CC5,Assumptions!$C$38:$M$38))*CC16</f>
        <v>-4608.95857695</v>
      </c>
      <c r="CD20" s="40">
        <f>-INDEX(Assumptions!$C$40:$M$40,MATCH('DCF Model'!CD5,Assumptions!$C$38:$M$38))*CD16</f>
        <v>-4608.95857695</v>
      </c>
      <c r="CE20" s="40">
        <f>-INDEX(Assumptions!$C$40:$M$40,MATCH('DCF Model'!CE5,Assumptions!$C$38:$M$38))*CE16</f>
        <v>-4608.95857695</v>
      </c>
      <c r="CF20" s="40">
        <f>-INDEX(Assumptions!$C$40:$M$40,MATCH('DCF Model'!CF5,Assumptions!$C$38:$M$38))*CF16</f>
        <v>-4608.95857695</v>
      </c>
      <c r="CG20" s="40">
        <f>-INDEX(Assumptions!$C$40:$M$40,MATCH('DCF Model'!CG5,Assumptions!$C$38:$M$38))*CG16</f>
        <v>-4608.95857695</v>
      </c>
      <c r="CH20" s="40">
        <f>-INDEX(Assumptions!$C$40:$M$40,MATCH('DCF Model'!CH5,Assumptions!$C$38:$M$38))*CH16</f>
        <v>-4608.95857695</v>
      </c>
      <c r="CI20" s="40">
        <f>-INDEX(Assumptions!$C$40:$M$40,MATCH('DCF Model'!CI5,Assumptions!$C$38:$M$38))*CI16</f>
        <v>-4608.95857695</v>
      </c>
      <c r="CJ20" s="40">
        <f>-INDEX(Assumptions!$C$40:$M$40,MATCH('DCF Model'!CJ5,Assumptions!$C$38:$M$38))*CJ16</f>
        <v>-4608.95857695</v>
      </c>
      <c r="CK20" s="40">
        <f>-INDEX(Assumptions!$C$40:$M$40,MATCH('DCF Model'!CK5,Assumptions!$C$38:$M$38))*CK16</f>
        <v>-4608.95857695</v>
      </c>
      <c r="CL20" s="40">
        <f>-INDEX(Assumptions!$C$40:$M$40,MATCH('DCF Model'!CL5,Assumptions!$C$38:$M$38))*CL16</f>
        <v>-4608.95857695</v>
      </c>
      <c r="CM20" s="119">
        <f>-INDEX(Assumptions!$C$40:$M$40,MATCH('DCF Model'!CM5,Assumptions!$C$38:$M$38))*CM16</f>
        <v>-4747.2273342585004</v>
      </c>
      <c r="CN20" s="119">
        <f>-INDEX(Assumptions!$C$40:$M$40,MATCH('DCF Model'!CN5,Assumptions!$C$38:$M$38))*CN16</f>
        <v>-4747.2273342585004</v>
      </c>
      <c r="CO20" s="119">
        <f>-INDEX(Assumptions!$C$40:$M$40,MATCH('DCF Model'!CO5,Assumptions!$C$38:$M$38))*CO16</f>
        <v>-4747.2273342585004</v>
      </c>
      <c r="CP20" s="119">
        <f>-INDEX(Assumptions!$C$40:$M$40,MATCH('DCF Model'!CP5,Assumptions!$C$38:$M$38))*CP16</f>
        <v>-4747.2273342585004</v>
      </c>
      <c r="CQ20" s="119">
        <f>-INDEX(Assumptions!$C$40:$M$40,MATCH('DCF Model'!CQ5,Assumptions!$C$38:$M$38))*CQ16</f>
        <v>-4747.2273342585004</v>
      </c>
      <c r="CR20" s="119">
        <f>-INDEX(Assumptions!$C$40:$M$40,MATCH('DCF Model'!CR5,Assumptions!$C$38:$M$38))*CR16</f>
        <v>-4747.2273342585004</v>
      </c>
      <c r="CS20" s="119">
        <f>-INDEX(Assumptions!$C$40:$M$40,MATCH('DCF Model'!CS5,Assumptions!$C$38:$M$38))*CS16</f>
        <v>-4747.2273342585004</v>
      </c>
      <c r="CT20" s="119">
        <f>-INDEX(Assumptions!$C$40:$M$40,MATCH('DCF Model'!CT5,Assumptions!$C$38:$M$38))*CT16</f>
        <v>-4747.2273342585004</v>
      </c>
      <c r="CU20" s="119">
        <f>-INDEX(Assumptions!$C$40:$M$40,MATCH('DCF Model'!CU5,Assumptions!$C$38:$M$38))*CU16</f>
        <v>-4747.2273342585004</v>
      </c>
      <c r="CV20" s="119">
        <f>-INDEX(Assumptions!$C$40:$M$40,MATCH('DCF Model'!CV5,Assumptions!$C$38:$M$38))*CV16</f>
        <v>-4747.2273342585004</v>
      </c>
      <c r="CW20" s="119">
        <f>-INDEX(Assumptions!$C$40:$M$40,MATCH('DCF Model'!CW5,Assumptions!$C$38:$M$38))*CW16</f>
        <v>-4747.2273342585004</v>
      </c>
      <c r="CX20" s="119">
        <f>-INDEX(Assumptions!$C$40:$M$40,MATCH('DCF Model'!CX5,Assumptions!$C$38:$M$38))*CX16</f>
        <v>-4747.2273342585004</v>
      </c>
      <c r="CY20" s="37"/>
    </row>
    <row r="21" spans="2:103" s="35" customFormat="1" ht="12.6" customHeight="1" x14ac:dyDescent="0.2">
      <c r="B21" s="41" t="s">
        <v>137</v>
      </c>
      <c r="C21" s="45"/>
      <c r="D21" s="43">
        <f>SUM(D16:D20)</f>
        <v>4418750</v>
      </c>
      <c r="E21" s="46"/>
      <c r="F21" s="45"/>
      <c r="G21" s="44">
        <f t="shared" ref="G21:AL21" si="19">SUM(G16:G20)</f>
        <v>391704.16666666669</v>
      </c>
      <c r="H21" s="44">
        <f t="shared" si="19"/>
        <v>391704.16666666669</v>
      </c>
      <c r="I21" s="44">
        <f t="shared" si="19"/>
        <v>391704.16666666669</v>
      </c>
      <c r="J21" s="44">
        <f t="shared" si="19"/>
        <v>391704.16666666669</v>
      </c>
      <c r="K21" s="44">
        <f t="shared" si="19"/>
        <v>391704.16666666669</v>
      </c>
      <c r="L21" s="44">
        <f t="shared" si="19"/>
        <v>391704.16666666669</v>
      </c>
      <c r="M21" s="44">
        <f t="shared" si="19"/>
        <v>391704.16666666669</v>
      </c>
      <c r="N21" s="44">
        <f t="shared" si="19"/>
        <v>391704.16666666669</v>
      </c>
      <c r="O21" s="44">
        <f t="shared" si="19"/>
        <v>391704.16666666669</v>
      </c>
      <c r="P21" s="44">
        <f t="shared" si="19"/>
        <v>391704.16666666669</v>
      </c>
      <c r="Q21" s="44">
        <f t="shared" si="19"/>
        <v>391704.16666666669</v>
      </c>
      <c r="R21" s="44">
        <f t="shared" si="19"/>
        <v>391704.16666666669</v>
      </c>
      <c r="S21" s="44">
        <f t="shared" si="19"/>
        <v>410070.91666666669</v>
      </c>
      <c r="T21" s="44">
        <f t="shared" si="19"/>
        <v>410070.91666666669</v>
      </c>
      <c r="U21" s="44">
        <f t="shared" si="19"/>
        <v>410070.91666666669</v>
      </c>
      <c r="V21" s="44">
        <f t="shared" si="19"/>
        <v>410070.91666666669</v>
      </c>
      <c r="W21" s="44">
        <f t="shared" si="19"/>
        <v>410070.91666666669</v>
      </c>
      <c r="X21" s="44">
        <f t="shared" si="19"/>
        <v>410070.91666666669</v>
      </c>
      <c r="Y21" s="44">
        <f t="shared" si="19"/>
        <v>410070.91666666669</v>
      </c>
      <c r="Z21" s="44">
        <f t="shared" si="19"/>
        <v>410070.91666666669</v>
      </c>
      <c r="AA21" s="44">
        <f t="shared" si="19"/>
        <v>410070.91666666669</v>
      </c>
      <c r="AB21" s="44">
        <f t="shared" si="19"/>
        <v>410070.91666666669</v>
      </c>
      <c r="AC21" s="44">
        <f t="shared" si="19"/>
        <v>410070.91666666669</v>
      </c>
      <c r="AD21" s="44">
        <f t="shared" si="19"/>
        <v>410070.91666666669</v>
      </c>
      <c r="AE21" s="44">
        <f t="shared" si="19"/>
        <v>426353.20041666669</v>
      </c>
      <c r="AF21" s="44">
        <f t="shared" si="19"/>
        <v>426353.20041666669</v>
      </c>
      <c r="AG21" s="44">
        <f t="shared" si="19"/>
        <v>426353.20041666669</v>
      </c>
      <c r="AH21" s="44">
        <f t="shared" si="19"/>
        <v>426353.20041666669</v>
      </c>
      <c r="AI21" s="44">
        <f t="shared" si="19"/>
        <v>426353.20041666669</v>
      </c>
      <c r="AJ21" s="44">
        <f t="shared" si="19"/>
        <v>426353.20041666669</v>
      </c>
      <c r="AK21" s="44">
        <f t="shared" si="19"/>
        <v>426353.20041666669</v>
      </c>
      <c r="AL21" s="44">
        <f t="shared" si="19"/>
        <v>426353.20041666669</v>
      </c>
      <c r="AM21" s="44">
        <f t="shared" ref="AM21:BR21" si="20">SUM(AM16:AM20)</f>
        <v>426353.20041666669</v>
      </c>
      <c r="AN21" s="44">
        <f t="shared" si="20"/>
        <v>426353.20041666669</v>
      </c>
      <c r="AO21" s="44">
        <f t="shared" si="20"/>
        <v>426353.20041666669</v>
      </c>
      <c r="AP21" s="44">
        <f t="shared" si="20"/>
        <v>426353.20041666669</v>
      </c>
      <c r="AQ21" s="44">
        <f t="shared" si="20"/>
        <v>439143.79642916669</v>
      </c>
      <c r="AR21" s="44">
        <f t="shared" si="20"/>
        <v>439143.79642916669</v>
      </c>
      <c r="AS21" s="44">
        <f t="shared" si="20"/>
        <v>439143.79642916669</v>
      </c>
      <c r="AT21" s="44">
        <f t="shared" si="20"/>
        <v>439143.79642916669</v>
      </c>
      <c r="AU21" s="44">
        <f t="shared" si="20"/>
        <v>439143.79642916669</v>
      </c>
      <c r="AV21" s="44">
        <f t="shared" si="20"/>
        <v>439143.79642916669</v>
      </c>
      <c r="AW21" s="44">
        <f t="shared" si="20"/>
        <v>439143.79642916669</v>
      </c>
      <c r="AX21" s="44">
        <f t="shared" si="20"/>
        <v>439143.79642916669</v>
      </c>
      <c r="AY21" s="44">
        <f t="shared" si="20"/>
        <v>439143.79642916669</v>
      </c>
      <c r="AZ21" s="44">
        <f t="shared" si="20"/>
        <v>439143.79642916669</v>
      </c>
      <c r="BA21" s="44">
        <f t="shared" si="20"/>
        <v>439143.79642916669</v>
      </c>
      <c r="BB21" s="44">
        <f t="shared" si="20"/>
        <v>439143.79642916669</v>
      </c>
      <c r="BC21" s="44">
        <f t="shared" si="20"/>
        <v>452318.11032204167</v>
      </c>
      <c r="BD21" s="44">
        <f t="shared" si="20"/>
        <v>452318.11032204167</v>
      </c>
      <c r="BE21" s="44">
        <f t="shared" si="20"/>
        <v>452318.11032204167</v>
      </c>
      <c r="BF21" s="44">
        <f t="shared" si="20"/>
        <v>452318.11032204167</v>
      </c>
      <c r="BG21" s="44">
        <f t="shared" si="20"/>
        <v>452318.11032204167</v>
      </c>
      <c r="BH21" s="44">
        <f t="shared" si="20"/>
        <v>452318.11032204167</v>
      </c>
      <c r="BI21" s="44">
        <f t="shared" si="20"/>
        <v>452318.11032204167</v>
      </c>
      <c r="BJ21" s="44">
        <f t="shared" si="20"/>
        <v>452318.11032204167</v>
      </c>
      <c r="BK21" s="44">
        <f t="shared" si="20"/>
        <v>452318.11032204167</v>
      </c>
      <c r="BL21" s="44">
        <f t="shared" si="20"/>
        <v>452318.11032204167</v>
      </c>
      <c r="BM21" s="44">
        <f t="shared" si="20"/>
        <v>452318.11032204167</v>
      </c>
      <c r="BN21" s="44">
        <f t="shared" si="20"/>
        <v>452318.11032204167</v>
      </c>
      <c r="BO21" s="44">
        <f t="shared" si="20"/>
        <v>465887.653631703</v>
      </c>
      <c r="BP21" s="44">
        <f t="shared" si="20"/>
        <v>465887.653631703</v>
      </c>
      <c r="BQ21" s="44">
        <f t="shared" si="20"/>
        <v>465887.653631703</v>
      </c>
      <c r="BR21" s="44">
        <f t="shared" si="20"/>
        <v>465887.653631703</v>
      </c>
      <c r="BS21" s="44">
        <f t="shared" ref="BS21:CX21" si="21">SUM(BS16:BS20)</f>
        <v>465887.653631703</v>
      </c>
      <c r="BT21" s="44">
        <f t="shared" si="21"/>
        <v>465887.653631703</v>
      </c>
      <c r="BU21" s="44">
        <f t="shared" si="21"/>
        <v>465887.653631703</v>
      </c>
      <c r="BV21" s="44">
        <f t="shared" si="21"/>
        <v>465887.653631703</v>
      </c>
      <c r="BW21" s="44">
        <f t="shared" si="21"/>
        <v>465887.653631703</v>
      </c>
      <c r="BX21" s="44">
        <f t="shared" si="21"/>
        <v>465887.653631703</v>
      </c>
      <c r="BY21" s="44">
        <f t="shared" si="21"/>
        <v>465887.653631703</v>
      </c>
      <c r="BZ21" s="44">
        <f t="shared" si="21"/>
        <v>465887.653631703</v>
      </c>
      <c r="CA21" s="44">
        <f t="shared" si="21"/>
        <v>479864.28324065404</v>
      </c>
      <c r="CB21" s="44">
        <f t="shared" si="21"/>
        <v>479864.28324065404</v>
      </c>
      <c r="CC21" s="44">
        <f t="shared" si="21"/>
        <v>479864.28324065404</v>
      </c>
      <c r="CD21" s="44">
        <f t="shared" si="21"/>
        <v>479864.28324065404</v>
      </c>
      <c r="CE21" s="44">
        <f t="shared" si="21"/>
        <v>479864.28324065404</v>
      </c>
      <c r="CF21" s="44">
        <f t="shared" si="21"/>
        <v>479864.28324065404</v>
      </c>
      <c r="CG21" s="44">
        <f t="shared" si="21"/>
        <v>479864.28324065404</v>
      </c>
      <c r="CH21" s="44">
        <f t="shared" si="21"/>
        <v>479864.28324065404</v>
      </c>
      <c r="CI21" s="44">
        <f t="shared" si="21"/>
        <v>479864.28324065404</v>
      </c>
      <c r="CJ21" s="44">
        <f t="shared" si="21"/>
        <v>479864.28324065404</v>
      </c>
      <c r="CK21" s="44">
        <f t="shared" si="21"/>
        <v>479864.28324065404</v>
      </c>
      <c r="CL21" s="44">
        <f t="shared" si="21"/>
        <v>479864.28324065404</v>
      </c>
      <c r="CM21" s="168">
        <f t="shared" si="21"/>
        <v>494260.21173787356</v>
      </c>
      <c r="CN21" s="168">
        <f t="shared" si="21"/>
        <v>494260.21173787356</v>
      </c>
      <c r="CO21" s="168">
        <f t="shared" si="21"/>
        <v>494260.21173787356</v>
      </c>
      <c r="CP21" s="168">
        <f t="shared" si="21"/>
        <v>494260.21173787356</v>
      </c>
      <c r="CQ21" s="168">
        <f t="shared" si="21"/>
        <v>494260.21173787356</v>
      </c>
      <c r="CR21" s="168">
        <f t="shared" si="21"/>
        <v>494260.21173787356</v>
      </c>
      <c r="CS21" s="168">
        <f t="shared" si="21"/>
        <v>494260.21173787356</v>
      </c>
      <c r="CT21" s="168">
        <f t="shared" si="21"/>
        <v>494260.21173787356</v>
      </c>
      <c r="CU21" s="168">
        <f t="shared" si="21"/>
        <v>494260.21173787356</v>
      </c>
      <c r="CV21" s="168">
        <f t="shared" si="21"/>
        <v>494260.21173787356</v>
      </c>
      <c r="CW21" s="168">
        <f t="shared" si="21"/>
        <v>494260.21173787356</v>
      </c>
      <c r="CX21" s="168">
        <f t="shared" si="21"/>
        <v>494260.21173787356</v>
      </c>
    </row>
    <row r="22" spans="2:103" ht="12.6" customHeight="1" x14ac:dyDescent="0.2">
      <c r="B22" s="117" t="s">
        <v>93</v>
      </c>
      <c r="D22" s="40">
        <f>Assumptions!L24</f>
        <v>-800000</v>
      </c>
      <c r="E22" s="31"/>
      <c r="G22" s="40">
        <f>-INDEX(Assumptions!$C$44:$M$44,MATCH('DCF Model'!G5,Assumptions!$C$38:$M$38))*G16</f>
        <v>-75000</v>
      </c>
      <c r="H22" s="40">
        <f>-INDEX(Assumptions!$C$44:$M$44,MATCH('DCF Model'!H5,Assumptions!$C$38:$M$38))*H16</f>
        <v>-75000</v>
      </c>
      <c r="I22" s="40">
        <f>-INDEX(Assumptions!$C$44:$M$44,MATCH('DCF Model'!I5,Assumptions!$C$38:$M$38))*I16</f>
        <v>-75000</v>
      </c>
      <c r="J22" s="40">
        <f>-INDEX(Assumptions!$C$44:$M$44,MATCH('DCF Model'!J5,Assumptions!$C$38:$M$38))*J16</f>
        <v>-75000</v>
      </c>
      <c r="K22" s="40">
        <f>-INDEX(Assumptions!$C$44:$M$44,MATCH('DCF Model'!K5,Assumptions!$C$38:$M$38))*K16</f>
        <v>-75000</v>
      </c>
      <c r="L22" s="40">
        <f>-INDEX(Assumptions!$C$44:$M$44,MATCH('DCF Model'!L5,Assumptions!$C$38:$M$38))*L16</f>
        <v>-75000</v>
      </c>
      <c r="M22" s="40">
        <f>-INDEX(Assumptions!$C$44:$M$44,MATCH('DCF Model'!M5,Assumptions!$C$38:$M$38))*M16</f>
        <v>-75000</v>
      </c>
      <c r="N22" s="40">
        <f>-INDEX(Assumptions!$C$44:$M$44,MATCH('DCF Model'!N5,Assumptions!$C$38:$M$38))*N16</f>
        <v>-75000</v>
      </c>
      <c r="O22" s="40">
        <f>-INDEX(Assumptions!$C$44:$M$44,MATCH('DCF Model'!O5,Assumptions!$C$38:$M$38))*O16</f>
        <v>-75000</v>
      </c>
      <c r="P22" s="40">
        <f>-INDEX(Assumptions!$C$44:$M$44,MATCH('DCF Model'!P5,Assumptions!$C$38:$M$38))*P16</f>
        <v>-75000</v>
      </c>
      <c r="Q22" s="40">
        <f>-INDEX(Assumptions!$C$44:$M$44,MATCH('DCF Model'!Q5,Assumptions!$C$38:$M$38))*Q16</f>
        <v>-75000</v>
      </c>
      <c r="R22" s="40">
        <f>-INDEX(Assumptions!$C$44:$M$44,MATCH('DCF Model'!R5,Assumptions!$C$38:$M$38))*R16</f>
        <v>-75000</v>
      </c>
      <c r="S22" s="40">
        <f>-INDEX(Assumptions!$C$44:$M$44,MATCH('DCF Model'!S5,Assumptions!$C$38:$M$38))*S16</f>
        <v>-59062.5</v>
      </c>
      <c r="T22" s="40">
        <f>-INDEX(Assumptions!$C$44:$M$44,MATCH('DCF Model'!T5,Assumptions!$C$38:$M$38))*T16</f>
        <v>-59062.5</v>
      </c>
      <c r="U22" s="40">
        <f>-INDEX(Assumptions!$C$44:$M$44,MATCH('DCF Model'!U5,Assumptions!$C$38:$M$38))*U16</f>
        <v>-59062.5</v>
      </c>
      <c r="V22" s="40">
        <f>-INDEX(Assumptions!$C$44:$M$44,MATCH('DCF Model'!V5,Assumptions!$C$38:$M$38))*V16</f>
        <v>-59062.5</v>
      </c>
      <c r="W22" s="40">
        <f>-INDEX(Assumptions!$C$44:$M$44,MATCH('DCF Model'!W5,Assumptions!$C$38:$M$38))*W16</f>
        <v>-59062.5</v>
      </c>
      <c r="X22" s="40">
        <f>-INDEX(Assumptions!$C$44:$M$44,MATCH('DCF Model'!X5,Assumptions!$C$38:$M$38))*X16</f>
        <v>-59062.5</v>
      </c>
      <c r="Y22" s="40">
        <f>-INDEX(Assumptions!$C$44:$M$44,MATCH('DCF Model'!Y5,Assumptions!$C$38:$M$38))*Y16</f>
        <v>-59062.5</v>
      </c>
      <c r="Z22" s="40">
        <f>-INDEX(Assumptions!$C$44:$M$44,MATCH('DCF Model'!Z5,Assumptions!$C$38:$M$38))*Z16</f>
        <v>-59062.5</v>
      </c>
      <c r="AA22" s="40">
        <f>-INDEX(Assumptions!$C$44:$M$44,MATCH('DCF Model'!AA5,Assumptions!$C$38:$M$38))*AA16</f>
        <v>-59062.5</v>
      </c>
      <c r="AB22" s="40">
        <f>-INDEX(Assumptions!$C$44:$M$44,MATCH('DCF Model'!AB5,Assumptions!$C$38:$M$38))*AB16</f>
        <v>-59062.5</v>
      </c>
      <c r="AC22" s="40">
        <f>-INDEX(Assumptions!$C$44:$M$44,MATCH('DCF Model'!AC5,Assumptions!$C$38:$M$38))*AC16</f>
        <v>-59062.5</v>
      </c>
      <c r="AD22" s="40">
        <f>-INDEX(Assumptions!$C$44:$M$44,MATCH('DCF Model'!AD5,Assumptions!$C$38:$M$38))*AD16</f>
        <v>-59062.5</v>
      </c>
      <c r="AE22" s="40">
        <f>-INDEX(Assumptions!$C$44:$M$44,MATCH('DCF Model'!AE5,Assumptions!$C$38:$M$38))*AE16</f>
        <v>-20475</v>
      </c>
      <c r="AF22" s="40">
        <f>-INDEX(Assumptions!$C$44:$M$44,MATCH('DCF Model'!AF5,Assumptions!$C$38:$M$38))*AF16</f>
        <v>-20475</v>
      </c>
      <c r="AG22" s="40">
        <f>-INDEX(Assumptions!$C$44:$M$44,MATCH('DCF Model'!AG5,Assumptions!$C$38:$M$38))*AG16</f>
        <v>-20475</v>
      </c>
      <c r="AH22" s="40">
        <f>-INDEX(Assumptions!$C$44:$M$44,MATCH('DCF Model'!AH5,Assumptions!$C$38:$M$38))*AH16</f>
        <v>-20475</v>
      </c>
      <c r="AI22" s="40">
        <f>-INDEX(Assumptions!$C$44:$M$44,MATCH('DCF Model'!AI5,Assumptions!$C$38:$M$38))*AI16</f>
        <v>-20475</v>
      </c>
      <c r="AJ22" s="40">
        <f>-INDEX(Assumptions!$C$44:$M$44,MATCH('DCF Model'!AJ5,Assumptions!$C$38:$M$38))*AJ16</f>
        <v>-20475</v>
      </c>
      <c r="AK22" s="40">
        <f>-INDEX(Assumptions!$C$44:$M$44,MATCH('DCF Model'!AK5,Assumptions!$C$38:$M$38))*AK16</f>
        <v>-20475</v>
      </c>
      <c r="AL22" s="40">
        <f>-INDEX(Assumptions!$C$44:$M$44,MATCH('DCF Model'!AL5,Assumptions!$C$38:$M$38))*AL16</f>
        <v>-20475</v>
      </c>
      <c r="AM22" s="40">
        <f>-INDEX(Assumptions!$C$44:$M$44,MATCH('DCF Model'!AM5,Assumptions!$C$38:$M$38))*AM16</f>
        <v>-20475</v>
      </c>
      <c r="AN22" s="40">
        <f>-INDEX(Assumptions!$C$44:$M$44,MATCH('DCF Model'!AN5,Assumptions!$C$38:$M$38))*AN16</f>
        <v>-20475</v>
      </c>
      <c r="AO22" s="40">
        <f>-INDEX(Assumptions!$C$44:$M$44,MATCH('DCF Model'!AO5,Assumptions!$C$38:$M$38))*AO16</f>
        <v>-20475</v>
      </c>
      <c r="AP22" s="40">
        <f>-INDEX(Assumptions!$C$44:$M$44,MATCH('DCF Model'!AP5,Assumptions!$C$38:$M$38))*AP16</f>
        <v>-20475</v>
      </c>
      <c r="AQ22" s="40">
        <f>-INDEX(Assumptions!$C$44:$M$44,MATCH('DCF Model'!AQ5,Assumptions!$C$38:$M$38))*AQ16</f>
        <v>-21089.25</v>
      </c>
      <c r="AR22" s="40">
        <f>-INDEX(Assumptions!$C$44:$M$44,MATCH('DCF Model'!AR5,Assumptions!$C$38:$M$38))*AR16</f>
        <v>-21089.25</v>
      </c>
      <c r="AS22" s="40">
        <f>-INDEX(Assumptions!$C$44:$M$44,MATCH('DCF Model'!AS5,Assumptions!$C$38:$M$38))*AS16</f>
        <v>-21089.25</v>
      </c>
      <c r="AT22" s="40">
        <f>-INDEX(Assumptions!$C$44:$M$44,MATCH('DCF Model'!AT5,Assumptions!$C$38:$M$38))*AT16</f>
        <v>-21089.25</v>
      </c>
      <c r="AU22" s="40">
        <f>-INDEX(Assumptions!$C$44:$M$44,MATCH('DCF Model'!AU5,Assumptions!$C$38:$M$38))*AU16</f>
        <v>-21089.25</v>
      </c>
      <c r="AV22" s="40">
        <f>-INDEX(Assumptions!$C$44:$M$44,MATCH('DCF Model'!AV5,Assumptions!$C$38:$M$38))*AV16</f>
        <v>-21089.25</v>
      </c>
      <c r="AW22" s="40">
        <f>-INDEX(Assumptions!$C$44:$M$44,MATCH('DCF Model'!AW5,Assumptions!$C$38:$M$38))*AW16</f>
        <v>-21089.25</v>
      </c>
      <c r="AX22" s="40">
        <f>-INDEX(Assumptions!$C$44:$M$44,MATCH('DCF Model'!AX5,Assumptions!$C$38:$M$38))*AX16</f>
        <v>-21089.25</v>
      </c>
      <c r="AY22" s="40">
        <f>-INDEX(Assumptions!$C$44:$M$44,MATCH('DCF Model'!AY5,Assumptions!$C$38:$M$38))*AY16</f>
        <v>-21089.25</v>
      </c>
      <c r="AZ22" s="40">
        <f>-INDEX(Assumptions!$C$44:$M$44,MATCH('DCF Model'!AZ5,Assumptions!$C$38:$M$38))*AZ16</f>
        <v>-21089.25</v>
      </c>
      <c r="BA22" s="40">
        <f>-INDEX(Assumptions!$C$44:$M$44,MATCH('DCF Model'!BA5,Assumptions!$C$38:$M$38))*BA16</f>
        <v>-21089.25</v>
      </c>
      <c r="BB22" s="40">
        <f>-INDEX(Assumptions!$C$44:$M$44,MATCH('DCF Model'!BB5,Assumptions!$C$38:$M$38))*BB16</f>
        <v>-21089.25</v>
      </c>
      <c r="BC22" s="40">
        <f>-INDEX(Assumptions!$C$44:$M$44,MATCH('DCF Model'!BC5,Assumptions!$C$38:$M$38))*BC16</f>
        <v>-21721.927500000002</v>
      </c>
      <c r="BD22" s="40">
        <f>-INDEX(Assumptions!$C$44:$M$44,MATCH('DCF Model'!BD5,Assumptions!$C$38:$M$38))*BD16</f>
        <v>-21721.927500000002</v>
      </c>
      <c r="BE22" s="40">
        <f>-INDEX(Assumptions!$C$44:$M$44,MATCH('DCF Model'!BE5,Assumptions!$C$38:$M$38))*BE16</f>
        <v>-21721.927500000002</v>
      </c>
      <c r="BF22" s="40">
        <f>-INDEX(Assumptions!$C$44:$M$44,MATCH('DCF Model'!BF5,Assumptions!$C$38:$M$38))*BF16</f>
        <v>-21721.927500000002</v>
      </c>
      <c r="BG22" s="40">
        <f>-INDEX(Assumptions!$C$44:$M$44,MATCH('DCF Model'!BG5,Assumptions!$C$38:$M$38))*BG16</f>
        <v>-21721.927500000002</v>
      </c>
      <c r="BH22" s="40">
        <f>-INDEX(Assumptions!$C$44:$M$44,MATCH('DCF Model'!BH5,Assumptions!$C$38:$M$38))*BH16</f>
        <v>-21721.927500000002</v>
      </c>
      <c r="BI22" s="40">
        <f>-INDEX(Assumptions!$C$44:$M$44,MATCH('DCF Model'!BI5,Assumptions!$C$38:$M$38))*BI16</f>
        <v>-21721.927500000002</v>
      </c>
      <c r="BJ22" s="40">
        <f>-INDEX(Assumptions!$C$44:$M$44,MATCH('DCF Model'!BJ5,Assumptions!$C$38:$M$38))*BJ16</f>
        <v>-21721.927500000002</v>
      </c>
      <c r="BK22" s="40">
        <f>-INDEX(Assumptions!$C$44:$M$44,MATCH('DCF Model'!BK5,Assumptions!$C$38:$M$38))*BK16</f>
        <v>-21721.927500000002</v>
      </c>
      <c r="BL22" s="40">
        <f>-INDEX(Assumptions!$C$44:$M$44,MATCH('DCF Model'!BL5,Assumptions!$C$38:$M$38))*BL16</f>
        <v>-21721.927500000002</v>
      </c>
      <c r="BM22" s="40">
        <f>-INDEX(Assumptions!$C$44:$M$44,MATCH('DCF Model'!BM5,Assumptions!$C$38:$M$38))*BM16</f>
        <v>-21721.927500000002</v>
      </c>
      <c r="BN22" s="40">
        <f>-INDEX(Assumptions!$C$44:$M$44,MATCH('DCF Model'!BN5,Assumptions!$C$38:$M$38))*BN16</f>
        <v>-21721.927500000002</v>
      </c>
      <c r="BO22" s="40">
        <f>-INDEX(Assumptions!$C$44:$M$44,MATCH('DCF Model'!BO5,Assumptions!$C$38:$M$38))*BO16</f>
        <v>-22373.585325000004</v>
      </c>
      <c r="BP22" s="40">
        <f>-INDEX(Assumptions!$C$44:$M$44,MATCH('DCF Model'!BP5,Assumptions!$C$38:$M$38))*BP16</f>
        <v>-22373.585325000004</v>
      </c>
      <c r="BQ22" s="40">
        <f>-INDEX(Assumptions!$C$44:$M$44,MATCH('DCF Model'!BQ5,Assumptions!$C$38:$M$38))*BQ16</f>
        <v>-22373.585325000004</v>
      </c>
      <c r="BR22" s="40">
        <f>-INDEX(Assumptions!$C$44:$M$44,MATCH('DCF Model'!BR5,Assumptions!$C$38:$M$38))*BR16</f>
        <v>-22373.585325000004</v>
      </c>
      <c r="BS22" s="40">
        <f>-INDEX(Assumptions!$C$44:$M$44,MATCH('DCF Model'!BS5,Assumptions!$C$38:$M$38))*BS16</f>
        <v>-22373.585325000004</v>
      </c>
      <c r="BT22" s="40">
        <f>-INDEX(Assumptions!$C$44:$M$44,MATCH('DCF Model'!BT5,Assumptions!$C$38:$M$38))*BT16</f>
        <v>-22373.585325000004</v>
      </c>
      <c r="BU22" s="40">
        <f>-INDEX(Assumptions!$C$44:$M$44,MATCH('DCF Model'!BU5,Assumptions!$C$38:$M$38))*BU16</f>
        <v>-22373.585325000004</v>
      </c>
      <c r="BV22" s="40">
        <f>-INDEX(Assumptions!$C$44:$M$44,MATCH('DCF Model'!BV5,Assumptions!$C$38:$M$38))*BV16</f>
        <v>-22373.585325000004</v>
      </c>
      <c r="BW22" s="40">
        <f>-INDEX(Assumptions!$C$44:$M$44,MATCH('DCF Model'!BW5,Assumptions!$C$38:$M$38))*BW16</f>
        <v>-22373.585325000004</v>
      </c>
      <c r="BX22" s="40">
        <f>-INDEX(Assumptions!$C$44:$M$44,MATCH('DCF Model'!BX5,Assumptions!$C$38:$M$38))*BX16</f>
        <v>-22373.585325000004</v>
      </c>
      <c r="BY22" s="40">
        <f>-INDEX(Assumptions!$C$44:$M$44,MATCH('DCF Model'!BY5,Assumptions!$C$38:$M$38))*BY16</f>
        <v>-22373.585325000004</v>
      </c>
      <c r="BZ22" s="40">
        <f>-INDEX(Assumptions!$C$44:$M$44,MATCH('DCF Model'!BZ5,Assumptions!$C$38:$M$38))*BZ16</f>
        <v>-22373.585325000004</v>
      </c>
      <c r="CA22" s="40">
        <f>-INDEX(Assumptions!$C$44:$M$44,MATCH('DCF Model'!CA5,Assumptions!$C$38:$M$38))*CA16</f>
        <v>-23044.792884750001</v>
      </c>
      <c r="CB22" s="40">
        <f>-INDEX(Assumptions!$C$44:$M$44,MATCH('DCF Model'!CB5,Assumptions!$C$38:$M$38))*CB16</f>
        <v>-23044.792884750001</v>
      </c>
      <c r="CC22" s="40">
        <f>-INDEX(Assumptions!$C$44:$M$44,MATCH('DCF Model'!CC5,Assumptions!$C$38:$M$38))*CC16</f>
        <v>-23044.792884750001</v>
      </c>
      <c r="CD22" s="40">
        <f>-INDEX(Assumptions!$C$44:$M$44,MATCH('DCF Model'!CD5,Assumptions!$C$38:$M$38))*CD16</f>
        <v>-23044.792884750001</v>
      </c>
      <c r="CE22" s="40">
        <f>-INDEX(Assumptions!$C$44:$M$44,MATCH('DCF Model'!CE5,Assumptions!$C$38:$M$38))*CE16</f>
        <v>-23044.792884750001</v>
      </c>
      <c r="CF22" s="40">
        <f>-INDEX(Assumptions!$C$44:$M$44,MATCH('DCF Model'!CF5,Assumptions!$C$38:$M$38))*CF16</f>
        <v>-23044.792884750001</v>
      </c>
      <c r="CG22" s="40">
        <f>-INDEX(Assumptions!$C$44:$M$44,MATCH('DCF Model'!CG5,Assumptions!$C$38:$M$38))*CG16</f>
        <v>-23044.792884750001</v>
      </c>
      <c r="CH22" s="40">
        <f>-INDEX(Assumptions!$C$44:$M$44,MATCH('DCF Model'!CH5,Assumptions!$C$38:$M$38))*CH16</f>
        <v>-23044.792884750001</v>
      </c>
      <c r="CI22" s="40">
        <f>-INDEX(Assumptions!$C$44:$M$44,MATCH('DCF Model'!CI5,Assumptions!$C$38:$M$38))*CI16</f>
        <v>-23044.792884750001</v>
      </c>
      <c r="CJ22" s="40">
        <f>-INDEX(Assumptions!$C$44:$M$44,MATCH('DCF Model'!CJ5,Assumptions!$C$38:$M$38))*CJ16</f>
        <v>-23044.792884750001</v>
      </c>
      <c r="CK22" s="40">
        <f>-INDEX(Assumptions!$C$44:$M$44,MATCH('DCF Model'!CK5,Assumptions!$C$38:$M$38))*CK16</f>
        <v>-23044.792884750001</v>
      </c>
      <c r="CL22" s="40">
        <f>-INDEX(Assumptions!$C$44:$M$44,MATCH('DCF Model'!CL5,Assumptions!$C$38:$M$38))*CL16</f>
        <v>-23044.792884750001</v>
      </c>
      <c r="CM22" s="119">
        <f>-INDEX(Assumptions!$C$44:$M$44,MATCH('DCF Model'!CM5,Assumptions!$C$38:$M$38))*CM16</f>
        <v>-23736.136671292501</v>
      </c>
      <c r="CN22" s="119">
        <f>-INDEX(Assumptions!$C$44:$M$44,MATCH('DCF Model'!CN5,Assumptions!$C$38:$M$38))*CN16</f>
        <v>-23736.136671292501</v>
      </c>
      <c r="CO22" s="119">
        <f>-INDEX(Assumptions!$C$44:$M$44,MATCH('DCF Model'!CO5,Assumptions!$C$38:$M$38))*CO16</f>
        <v>-23736.136671292501</v>
      </c>
      <c r="CP22" s="119">
        <f>-INDEX(Assumptions!$C$44:$M$44,MATCH('DCF Model'!CP5,Assumptions!$C$38:$M$38))*CP16</f>
        <v>-23736.136671292501</v>
      </c>
      <c r="CQ22" s="119">
        <f>-INDEX(Assumptions!$C$44:$M$44,MATCH('DCF Model'!CQ5,Assumptions!$C$38:$M$38))*CQ16</f>
        <v>-23736.136671292501</v>
      </c>
      <c r="CR22" s="119">
        <f>-INDEX(Assumptions!$C$44:$M$44,MATCH('DCF Model'!CR5,Assumptions!$C$38:$M$38))*CR16</f>
        <v>-23736.136671292501</v>
      </c>
      <c r="CS22" s="119">
        <f>-INDEX(Assumptions!$C$44:$M$44,MATCH('DCF Model'!CS5,Assumptions!$C$38:$M$38))*CS16</f>
        <v>-23736.136671292501</v>
      </c>
      <c r="CT22" s="119">
        <f>-INDEX(Assumptions!$C$44:$M$44,MATCH('DCF Model'!CT5,Assumptions!$C$38:$M$38))*CT16</f>
        <v>-23736.136671292501</v>
      </c>
      <c r="CU22" s="119">
        <f>-INDEX(Assumptions!$C$44:$M$44,MATCH('DCF Model'!CU5,Assumptions!$C$38:$M$38))*CU16</f>
        <v>-23736.136671292501</v>
      </c>
      <c r="CV22" s="119">
        <f>-INDEX(Assumptions!$C$44:$M$44,MATCH('DCF Model'!CV5,Assumptions!$C$38:$M$38))*CV16</f>
        <v>-23736.136671292501</v>
      </c>
      <c r="CW22" s="119">
        <f>-INDEX(Assumptions!$C$44:$M$44,MATCH('DCF Model'!CW5,Assumptions!$C$38:$M$38))*CW16</f>
        <v>-23736.136671292501</v>
      </c>
      <c r="CX22" s="119">
        <f>-INDEX(Assumptions!$C$44:$M$44,MATCH('DCF Model'!CX5,Assumptions!$C$38:$M$38))*CX16</f>
        <v>-23736.136671292501</v>
      </c>
    </row>
    <row r="23" spans="2:103" ht="12.6" customHeight="1" x14ac:dyDescent="0.2">
      <c r="B23" s="117" t="s">
        <v>94</v>
      </c>
      <c r="D23" s="40">
        <f>Assumptions!L20</f>
        <v>-9375</v>
      </c>
      <c r="E23" s="31"/>
      <c r="G23" s="40">
        <f>-INDEX(Assumptions!$C$42:$M$42,MATCH('DCF Model'!G5,Assumptions!$C$38:$M$38))*G17</f>
        <v>-781.25000000000011</v>
      </c>
      <c r="H23" s="40">
        <f>-INDEX(Assumptions!$C$42:$M$42,MATCH('DCF Model'!H5,Assumptions!$C$38:$M$38))*H17</f>
        <v>-781.25000000000011</v>
      </c>
      <c r="I23" s="40">
        <f>-INDEX(Assumptions!$C$42:$M$42,MATCH('DCF Model'!I5,Assumptions!$C$38:$M$38))*I17</f>
        <v>-781.25000000000011</v>
      </c>
      <c r="J23" s="40">
        <f>-INDEX(Assumptions!$C$42:$M$42,MATCH('DCF Model'!J5,Assumptions!$C$38:$M$38))*J17</f>
        <v>-781.25000000000011</v>
      </c>
      <c r="K23" s="40">
        <f>-INDEX(Assumptions!$C$42:$M$42,MATCH('DCF Model'!K5,Assumptions!$C$38:$M$38))*K17</f>
        <v>-781.25000000000011</v>
      </c>
      <c r="L23" s="40">
        <f>-INDEX(Assumptions!$C$42:$M$42,MATCH('DCF Model'!L5,Assumptions!$C$38:$M$38))*L17</f>
        <v>-781.25000000000011</v>
      </c>
      <c r="M23" s="40">
        <f>-INDEX(Assumptions!$C$42:$M$42,MATCH('DCF Model'!M5,Assumptions!$C$38:$M$38))*M17</f>
        <v>-781.25000000000011</v>
      </c>
      <c r="N23" s="40">
        <f>-INDEX(Assumptions!$C$42:$M$42,MATCH('DCF Model'!N5,Assumptions!$C$38:$M$38))*N17</f>
        <v>-781.25000000000011</v>
      </c>
      <c r="O23" s="40">
        <f>-INDEX(Assumptions!$C$42:$M$42,MATCH('DCF Model'!O5,Assumptions!$C$38:$M$38))*O17</f>
        <v>-781.25000000000011</v>
      </c>
      <c r="P23" s="40">
        <f>-INDEX(Assumptions!$C$42:$M$42,MATCH('DCF Model'!P5,Assumptions!$C$38:$M$38))*P17</f>
        <v>-781.25000000000011</v>
      </c>
      <c r="Q23" s="40">
        <f>-INDEX(Assumptions!$C$42:$M$42,MATCH('DCF Model'!Q5,Assumptions!$C$38:$M$38))*Q17</f>
        <v>-781.25000000000011</v>
      </c>
      <c r="R23" s="40">
        <f>-INDEX(Assumptions!$C$42:$M$42,MATCH('DCF Model'!R5,Assumptions!$C$38:$M$38))*R17</f>
        <v>-781.25000000000011</v>
      </c>
      <c r="S23" s="40">
        <f>-INDEX(Assumptions!$C$42:$M$42,MATCH('DCF Model'!S5,Assumptions!$C$38:$M$38))*S17</f>
        <v>-820.31250000000023</v>
      </c>
      <c r="T23" s="40">
        <f>-INDEX(Assumptions!$C$42:$M$42,MATCH('DCF Model'!T5,Assumptions!$C$38:$M$38))*T17</f>
        <v>-820.31250000000023</v>
      </c>
      <c r="U23" s="40">
        <f>-INDEX(Assumptions!$C$42:$M$42,MATCH('DCF Model'!U5,Assumptions!$C$38:$M$38))*U17</f>
        <v>-820.31250000000023</v>
      </c>
      <c r="V23" s="40">
        <f>-INDEX(Assumptions!$C$42:$M$42,MATCH('DCF Model'!V5,Assumptions!$C$38:$M$38))*V17</f>
        <v>-820.31250000000023</v>
      </c>
      <c r="W23" s="40">
        <f>-INDEX(Assumptions!$C$42:$M$42,MATCH('DCF Model'!W5,Assumptions!$C$38:$M$38))*W17</f>
        <v>-820.31250000000023</v>
      </c>
      <c r="X23" s="40">
        <f>-INDEX(Assumptions!$C$42:$M$42,MATCH('DCF Model'!X5,Assumptions!$C$38:$M$38))*X17</f>
        <v>-820.31250000000023</v>
      </c>
      <c r="Y23" s="40">
        <f>-INDEX(Assumptions!$C$42:$M$42,MATCH('DCF Model'!Y5,Assumptions!$C$38:$M$38))*Y17</f>
        <v>-820.31250000000023</v>
      </c>
      <c r="Z23" s="40">
        <f>-INDEX(Assumptions!$C$42:$M$42,MATCH('DCF Model'!Z5,Assumptions!$C$38:$M$38))*Z17</f>
        <v>-820.31250000000023</v>
      </c>
      <c r="AA23" s="40">
        <f>-INDEX(Assumptions!$C$42:$M$42,MATCH('DCF Model'!AA5,Assumptions!$C$38:$M$38))*AA17</f>
        <v>-820.31250000000023</v>
      </c>
      <c r="AB23" s="40">
        <f>-INDEX(Assumptions!$C$42:$M$42,MATCH('DCF Model'!AB5,Assumptions!$C$38:$M$38))*AB17</f>
        <v>-820.31250000000023</v>
      </c>
      <c r="AC23" s="40">
        <f>-INDEX(Assumptions!$C$42:$M$42,MATCH('DCF Model'!AC5,Assumptions!$C$38:$M$38))*AC17</f>
        <v>-820.31250000000023</v>
      </c>
      <c r="AD23" s="40">
        <f>-INDEX(Assumptions!$C$42:$M$42,MATCH('DCF Model'!AD5,Assumptions!$C$38:$M$38))*AD17</f>
        <v>-820.31250000000023</v>
      </c>
      <c r="AE23" s="40">
        <f>-INDEX(Assumptions!$C$42:$M$42,MATCH('DCF Model'!AE5,Assumptions!$C$38:$M$38))*AE17</f>
        <v>-853.12500000000023</v>
      </c>
      <c r="AF23" s="40">
        <f>-INDEX(Assumptions!$C$42:$M$42,MATCH('DCF Model'!AF5,Assumptions!$C$38:$M$38))*AF17</f>
        <v>-853.12500000000023</v>
      </c>
      <c r="AG23" s="40">
        <f>-INDEX(Assumptions!$C$42:$M$42,MATCH('DCF Model'!AG5,Assumptions!$C$38:$M$38))*AG17</f>
        <v>-853.12500000000023</v>
      </c>
      <c r="AH23" s="40">
        <f>-INDEX(Assumptions!$C$42:$M$42,MATCH('DCF Model'!AH5,Assumptions!$C$38:$M$38))*AH17</f>
        <v>-853.12500000000023</v>
      </c>
      <c r="AI23" s="40">
        <f>-INDEX(Assumptions!$C$42:$M$42,MATCH('DCF Model'!AI5,Assumptions!$C$38:$M$38))*AI17</f>
        <v>-853.12500000000023</v>
      </c>
      <c r="AJ23" s="40">
        <f>-INDEX(Assumptions!$C$42:$M$42,MATCH('DCF Model'!AJ5,Assumptions!$C$38:$M$38))*AJ17</f>
        <v>-853.12500000000023</v>
      </c>
      <c r="AK23" s="40">
        <f>-INDEX(Assumptions!$C$42:$M$42,MATCH('DCF Model'!AK5,Assumptions!$C$38:$M$38))*AK17</f>
        <v>-853.12500000000023</v>
      </c>
      <c r="AL23" s="40">
        <f>-INDEX(Assumptions!$C$42:$M$42,MATCH('DCF Model'!AL5,Assumptions!$C$38:$M$38))*AL17</f>
        <v>-853.12500000000023</v>
      </c>
      <c r="AM23" s="40">
        <f>-INDEX(Assumptions!$C$42:$M$42,MATCH('DCF Model'!AM5,Assumptions!$C$38:$M$38))*AM17</f>
        <v>-853.12500000000023</v>
      </c>
      <c r="AN23" s="40">
        <f>-INDEX(Assumptions!$C$42:$M$42,MATCH('DCF Model'!AN5,Assumptions!$C$38:$M$38))*AN17</f>
        <v>-853.12500000000023</v>
      </c>
      <c r="AO23" s="40">
        <f>-INDEX(Assumptions!$C$42:$M$42,MATCH('DCF Model'!AO5,Assumptions!$C$38:$M$38))*AO17</f>
        <v>-853.12500000000023</v>
      </c>
      <c r="AP23" s="40">
        <f>-INDEX(Assumptions!$C$42:$M$42,MATCH('DCF Model'!AP5,Assumptions!$C$38:$M$38))*AP17</f>
        <v>-853.12500000000023</v>
      </c>
      <c r="AQ23" s="40">
        <f>-INDEX(Assumptions!$C$42:$M$42,MATCH('DCF Model'!AQ5,Assumptions!$C$38:$M$38))*AQ17</f>
        <v>-878.71875000000023</v>
      </c>
      <c r="AR23" s="40">
        <f>-INDEX(Assumptions!$C$42:$M$42,MATCH('DCF Model'!AR5,Assumptions!$C$38:$M$38))*AR17</f>
        <v>-878.71875000000023</v>
      </c>
      <c r="AS23" s="40">
        <f>-INDEX(Assumptions!$C$42:$M$42,MATCH('DCF Model'!AS5,Assumptions!$C$38:$M$38))*AS17</f>
        <v>-878.71875000000023</v>
      </c>
      <c r="AT23" s="40">
        <f>-INDEX(Assumptions!$C$42:$M$42,MATCH('DCF Model'!AT5,Assumptions!$C$38:$M$38))*AT17</f>
        <v>-878.71875000000023</v>
      </c>
      <c r="AU23" s="40">
        <f>-INDEX(Assumptions!$C$42:$M$42,MATCH('DCF Model'!AU5,Assumptions!$C$38:$M$38))*AU17</f>
        <v>-878.71875000000023</v>
      </c>
      <c r="AV23" s="40">
        <f>-INDEX(Assumptions!$C$42:$M$42,MATCH('DCF Model'!AV5,Assumptions!$C$38:$M$38))*AV17</f>
        <v>-878.71875000000023</v>
      </c>
      <c r="AW23" s="40">
        <f>-INDEX(Assumptions!$C$42:$M$42,MATCH('DCF Model'!AW5,Assumptions!$C$38:$M$38))*AW17</f>
        <v>-878.71875000000023</v>
      </c>
      <c r="AX23" s="40">
        <f>-INDEX(Assumptions!$C$42:$M$42,MATCH('DCF Model'!AX5,Assumptions!$C$38:$M$38))*AX17</f>
        <v>-878.71875000000023</v>
      </c>
      <c r="AY23" s="40">
        <f>-INDEX(Assumptions!$C$42:$M$42,MATCH('DCF Model'!AY5,Assumptions!$C$38:$M$38))*AY17</f>
        <v>-878.71875000000023</v>
      </c>
      <c r="AZ23" s="40">
        <f>-INDEX(Assumptions!$C$42:$M$42,MATCH('DCF Model'!AZ5,Assumptions!$C$38:$M$38))*AZ17</f>
        <v>-878.71875000000023</v>
      </c>
      <c r="BA23" s="40">
        <f>-INDEX(Assumptions!$C$42:$M$42,MATCH('DCF Model'!BA5,Assumptions!$C$38:$M$38))*BA17</f>
        <v>-878.71875000000023</v>
      </c>
      <c r="BB23" s="40">
        <f>-INDEX(Assumptions!$C$42:$M$42,MATCH('DCF Model'!BB5,Assumptions!$C$38:$M$38))*BB17</f>
        <v>-878.71875000000023</v>
      </c>
      <c r="BC23" s="40">
        <f>-INDEX(Assumptions!$C$42:$M$42,MATCH('DCF Model'!BC5,Assumptions!$C$38:$M$38))*BC17</f>
        <v>-905.08031250000022</v>
      </c>
      <c r="BD23" s="40">
        <f>-INDEX(Assumptions!$C$42:$M$42,MATCH('DCF Model'!BD5,Assumptions!$C$38:$M$38))*BD17</f>
        <v>-905.08031250000022</v>
      </c>
      <c r="BE23" s="40">
        <f>-INDEX(Assumptions!$C$42:$M$42,MATCH('DCF Model'!BE5,Assumptions!$C$38:$M$38))*BE17</f>
        <v>-905.08031250000022</v>
      </c>
      <c r="BF23" s="40">
        <f>-INDEX(Assumptions!$C$42:$M$42,MATCH('DCF Model'!BF5,Assumptions!$C$38:$M$38))*BF17</f>
        <v>-905.08031250000022</v>
      </c>
      <c r="BG23" s="40">
        <f>-INDEX(Assumptions!$C$42:$M$42,MATCH('DCF Model'!BG5,Assumptions!$C$38:$M$38))*BG17</f>
        <v>-905.08031250000022</v>
      </c>
      <c r="BH23" s="40">
        <f>-INDEX(Assumptions!$C$42:$M$42,MATCH('DCF Model'!BH5,Assumptions!$C$38:$M$38))*BH17</f>
        <v>-905.08031250000022</v>
      </c>
      <c r="BI23" s="40">
        <f>-INDEX(Assumptions!$C$42:$M$42,MATCH('DCF Model'!BI5,Assumptions!$C$38:$M$38))*BI17</f>
        <v>-905.08031250000022</v>
      </c>
      <c r="BJ23" s="40">
        <f>-INDEX(Assumptions!$C$42:$M$42,MATCH('DCF Model'!BJ5,Assumptions!$C$38:$M$38))*BJ17</f>
        <v>-905.08031250000022</v>
      </c>
      <c r="BK23" s="40">
        <f>-INDEX(Assumptions!$C$42:$M$42,MATCH('DCF Model'!BK5,Assumptions!$C$38:$M$38))*BK17</f>
        <v>-905.08031250000022</v>
      </c>
      <c r="BL23" s="40">
        <f>-INDEX(Assumptions!$C$42:$M$42,MATCH('DCF Model'!BL5,Assumptions!$C$38:$M$38))*BL17</f>
        <v>-905.08031250000022</v>
      </c>
      <c r="BM23" s="40">
        <f>-INDEX(Assumptions!$C$42:$M$42,MATCH('DCF Model'!BM5,Assumptions!$C$38:$M$38))*BM17</f>
        <v>-905.08031250000022</v>
      </c>
      <c r="BN23" s="40">
        <f>-INDEX(Assumptions!$C$42:$M$42,MATCH('DCF Model'!BN5,Assumptions!$C$38:$M$38))*BN17</f>
        <v>-905.08031250000022</v>
      </c>
      <c r="BO23" s="40">
        <f>-INDEX(Assumptions!$C$42:$M$42,MATCH('DCF Model'!BO5,Assumptions!$C$38:$M$38))*BO17</f>
        <v>-932.23272187500027</v>
      </c>
      <c r="BP23" s="40">
        <f>-INDEX(Assumptions!$C$42:$M$42,MATCH('DCF Model'!BP5,Assumptions!$C$38:$M$38))*BP17</f>
        <v>-932.23272187500027</v>
      </c>
      <c r="BQ23" s="40">
        <f>-INDEX(Assumptions!$C$42:$M$42,MATCH('DCF Model'!BQ5,Assumptions!$C$38:$M$38))*BQ17</f>
        <v>-932.23272187500027</v>
      </c>
      <c r="BR23" s="40">
        <f>-INDEX(Assumptions!$C$42:$M$42,MATCH('DCF Model'!BR5,Assumptions!$C$38:$M$38))*BR17</f>
        <v>-932.23272187500027</v>
      </c>
      <c r="BS23" s="40">
        <f>-INDEX(Assumptions!$C$42:$M$42,MATCH('DCF Model'!BS5,Assumptions!$C$38:$M$38))*BS17</f>
        <v>-932.23272187500027</v>
      </c>
      <c r="BT23" s="40">
        <f>-INDEX(Assumptions!$C$42:$M$42,MATCH('DCF Model'!BT5,Assumptions!$C$38:$M$38))*BT17</f>
        <v>-932.23272187500027</v>
      </c>
      <c r="BU23" s="40">
        <f>-INDEX(Assumptions!$C$42:$M$42,MATCH('DCF Model'!BU5,Assumptions!$C$38:$M$38))*BU17</f>
        <v>-932.23272187500027</v>
      </c>
      <c r="BV23" s="40">
        <f>-INDEX(Assumptions!$C$42:$M$42,MATCH('DCF Model'!BV5,Assumptions!$C$38:$M$38))*BV17</f>
        <v>-932.23272187500027</v>
      </c>
      <c r="BW23" s="40">
        <f>-INDEX(Assumptions!$C$42:$M$42,MATCH('DCF Model'!BW5,Assumptions!$C$38:$M$38))*BW17</f>
        <v>-932.23272187500027</v>
      </c>
      <c r="BX23" s="40">
        <f>-INDEX(Assumptions!$C$42:$M$42,MATCH('DCF Model'!BX5,Assumptions!$C$38:$M$38))*BX17</f>
        <v>-932.23272187500027</v>
      </c>
      <c r="BY23" s="40">
        <f>-INDEX(Assumptions!$C$42:$M$42,MATCH('DCF Model'!BY5,Assumptions!$C$38:$M$38))*BY17</f>
        <v>-932.23272187500027</v>
      </c>
      <c r="BZ23" s="40">
        <f>-INDEX(Assumptions!$C$42:$M$42,MATCH('DCF Model'!BZ5,Assumptions!$C$38:$M$38))*BZ17</f>
        <v>-932.23272187500027</v>
      </c>
      <c r="CA23" s="40">
        <f>-INDEX(Assumptions!$C$42:$M$42,MATCH('DCF Model'!CA5,Assumptions!$C$38:$M$38))*CA17</f>
        <v>-960.19970353125029</v>
      </c>
      <c r="CB23" s="40">
        <f>-INDEX(Assumptions!$C$42:$M$42,MATCH('DCF Model'!CB5,Assumptions!$C$38:$M$38))*CB17</f>
        <v>-960.19970353125029</v>
      </c>
      <c r="CC23" s="40">
        <f>-INDEX(Assumptions!$C$42:$M$42,MATCH('DCF Model'!CC5,Assumptions!$C$38:$M$38))*CC17</f>
        <v>-960.19970353125029</v>
      </c>
      <c r="CD23" s="40">
        <f>-INDEX(Assumptions!$C$42:$M$42,MATCH('DCF Model'!CD5,Assumptions!$C$38:$M$38))*CD17</f>
        <v>-960.19970353125029</v>
      </c>
      <c r="CE23" s="40">
        <f>-INDEX(Assumptions!$C$42:$M$42,MATCH('DCF Model'!CE5,Assumptions!$C$38:$M$38))*CE17</f>
        <v>-960.19970353125029</v>
      </c>
      <c r="CF23" s="40">
        <f>-INDEX(Assumptions!$C$42:$M$42,MATCH('DCF Model'!CF5,Assumptions!$C$38:$M$38))*CF17</f>
        <v>-960.19970353125029</v>
      </c>
      <c r="CG23" s="40">
        <f>-INDEX(Assumptions!$C$42:$M$42,MATCH('DCF Model'!CG5,Assumptions!$C$38:$M$38))*CG17</f>
        <v>-960.19970353125029</v>
      </c>
      <c r="CH23" s="40">
        <f>-INDEX(Assumptions!$C$42:$M$42,MATCH('DCF Model'!CH5,Assumptions!$C$38:$M$38))*CH17</f>
        <v>-960.19970353125029</v>
      </c>
      <c r="CI23" s="40">
        <f>-INDEX(Assumptions!$C$42:$M$42,MATCH('DCF Model'!CI5,Assumptions!$C$38:$M$38))*CI17</f>
        <v>-960.19970353125029</v>
      </c>
      <c r="CJ23" s="40">
        <f>-INDEX(Assumptions!$C$42:$M$42,MATCH('DCF Model'!CJ5,Assumptions!$C$38:$M$38))*CJ17</f>
        <v>-960.19970353125029</v>
      </c>
      <c r="CK23" s="40">
        <f>-INDEX(Assumptions!$C$42:$M$42,MATCH('DCF Model'!CK5,Assumptions!$C$38:$M$38))*CK17</f>
        <v>-960.19970353125029</v>
      </c>
      <c r="CL23" s="40">
        <f>-INDEX(Assumptions!$C$42:$M$42,MATCH('DCF Model'!CL5,Assumptions!$C$38:$M$38))*CL17</f>
        <v>-960.19970353125029</v>
      </c>
      <c r="CM23" s="119">
        <f>-INDEX(Assumptions!$C$42:$M$42,MATCH('DCF Model'!CM5,Assumptions!$C$38:$M$38))*CM17</f>
        <v>-989.00569463718784</v>
      </c>
      <c r="CN23" s="119">
        <f>-INDEX(Assumptions!$C$42:$M$42,MATCH('DCF Model'!CN5,Assumptions!$C$38:$M$38))*CN17</f>
        <v>-989.00569463718784</v>
      </c>
      <c r="CO23" s="119">
        <f>-INDEX(Assumptions!$C$42:$M$42,MATCH('DCF Model'!CO5,Assumptions!$C$38:$M$38))*CO17</f>
        <v>-989.00569463718784</v>
      </c>
      <c r="CP23" s="119">
        <f>-INDEX(Assumptions!$C$42:$M$42,MATCH('DCF Model'!CP5,Assumptions!$C$38:$M$38))*CP17</f>
        <v>-989.00569463718784</v>
      </c>
      <c r="CQ23" s="119">
        <f>-INDEX(Assumptions!$C$42:$M$42,MATCH('DCF Model'!CQ5,Assumptions!$C$38:$M$38))*CQ17</f>
        <v>-989.00569463718784</v>
      </c>
      <c r="CR23" s="119">
        <f>-INDEX(Assumptions!$C$42:$M$42,MATCH('DCF Model'!CR5,Assumptions!$C$38:$M$38))*CR17</f>
        <v>-989.00569463718784</v>
      </c>
      <c r="CS23" s="119">
        <f>-INDEX(Assumptions!$C$42:$M$42,MATCH('DCF Model'!CS5,Assumptions!$C$38:$M$38))*CS17</f>
        <v>-989.00569463718784</v>
      </c>
      <c r="CT23" s="119">
        <f>-INDEX(Assumptions!$C$42:$M$42,MATCH('DCF Model'!CT5,Assumptions!$C$38:$M$38))*CT17</f>
        <v>-989.00569463718784</v>
      </c>
      <c r="CU23" s="119">
        <f>-INDEX(Assumptions!$C$42:$M$42,MATCH('DCF Model'!CU5,Assumptions!$C$38:$M$38))*CU17</f>
        <v>-989.00569463718784</v>
      </c>
      <c r="CV23" s="119">
        <f>-INDEX(Assumptions!$C$42:$M$42,MATCH('DCF Model'!CV5,Assumptions!$C$38:$M$38))*CV17</f>
        <v>-989.00569463718784</v>
      </c>
      <c r="CW23" s="119">
        <f>-INDEX(Assumptions!$C$42:$M$42,MATCH('DCF Model'!CW5,Assumptions!$C$38:$M$38))*CW17</f>
        <v>-989.00569463718784</v>
      </c>
      <c r="CX23" s="119">
        <f>-INDEX(Assumptions!$C$42:$M$42,MATCH('DCF Model'!CX5,Assumptions!$C$38:$M$38))*CX17</f>
        <v>-989.00569463718784</v>
      </c>
    </row>
    <row r="24" spans="2:103" ht="12.6" customHeight="1" x14ac:dyDescent="0.2">
      <c r="B24" s="117" t="s">
        <v>33</v>
      </c>
      <c r="D24" s="40">
        <f>Assumptions!L25</f>
        <v>-400000</v>
      </c>
      <c r="E24" s="31"/>
      <c r="G24" s="40">
        <f>-INDEX(Assumptions!$C$45:$M$45,MATCH('DCF Model'!G5,Assumptions!$C$38:$M$38))*(G16+G17)</f>
        <v>-38281.25</v>
      </c>
      <c r="H24" s="40">
        <f>-INDEX(Assumptions!$C$45:$M$45,MATCH('DCF Model'!H5,Assumptions!$C$38:$M$38))*(H16+H17)</f>
        <v>-38281.25</v>
      </c>
      <c r="I24" s="40">
        <f>-INDEX(Assumptions!$C$45:$M$45,MATCH('DCF Model'!I5,Assumptions!$C$38:$M$38))*(I16+I17)</f>
        <v>-38281.25</v>
      </c>
      <c r="J24" s="40">
        <f>-INDEX(Assumptions!$C$45:$M$45,MATCH('DCF Model'!J5,Assumptions!$C$38:$M$38))*(J16+J17)</f>
        <v>-38281.25</v>
      </c>
      <c r="K24" s="40">
        <f>-INDEX(Assumptions!$C$45:$M$45,MATCH('DCF Model'!K5,Assumptions!$C$38:$M$38))*(K16+K17)</f>
        <v>-38281.25</v>
      </c>
      <c r="L24" s="40">
        <f>-INDEX(Assumptions!$C$45:$M$45,MATCH('DCF Model'!L5,Assumptions!$C$38:$M$38))*(L16+L17)</f>
        <v>-38281.25</v>
      </c>
      <c r="M24" s="40">
        <f>-INDEX(Assumptions!$C$45:$M$45,MATCH('DCF Model'!M5,Assumptions!$C$38:$M$38))*(M16+M17)</f>
        <v>-38281.25</v>
      </c>
      <c r="N24" s="40">
        <f>-INDEX(Assumptions!$C$45:$M$45,MATCH('DCF Model'!N5,Assumptions!$C$38:$M$38))*(N16+N17)</f>
        <v>-38281.25</v>
      </c>
      <c r="O24" s="40">
        <f>-INDEX(Assumptions!$C$45:$M$45,MATCH('DCF Model'!O5,Assumptions!$C$38:$M$38))*(O16+O17)</f>
        <v>-38281.25</v>
      </c>
      <c r="P24" s="40">
        <f>-INDEX(Assumptions!$C$45:$M$45,MATCH('DCF Model'!P5,Assumptions!$C$38:$M$38))*(P16+P17)</f>
        <v>-38281.25</v>
      </c>
      <c r="Q24" s="40">
        <f>-INDEX(Assumptions!$C$45:$M$45,MATCH('DCF Model'!Q5,Assumptions!$C$38:$M$38))*(Q16+Q17)</f>
        <v>-38281.25</v>
      </c>
      <c r="R24" s="40">
        <f>-INDEX(Assumptions!$C$45:$M$45,MATCH('DCF Model'!R5,Assumptions!$C$38:$M$38))*(R16+R17)</f>
        <v>-38281.25</v>
      </c>
      <c r="S24" s="40">
        <f>-INDEX(Assumptions!$C$45:$M$45,MATCH('DCF Model'!S5,Assumptions!$C$38:$M$38))*(S16+S17)</f>
        <v>-20097.65625</v>
      </c>
      <c r="T24" s="40">
        <f>-INDEX(Assumptions!$C$45:$M$45,MATCH('DCF Model'!T5,Assumptions!$C$38:$M$38))*(T16+T17)</f>
        <v>-20097.65625</v>
      </c>
      <c r="U24" s="40">
        <f>-INDEX(Assumptions!$C$45:$M$45,MATCH('DCF Model'!U5,Assumptions!$C$38:$M$38))*(U16+U17)</f>
        <v>-20097.65625</v>
      </c>
      <c r="V24" s="40">
        <f>-INDEX(Assumptions!$C$45:$M$45,MATCH('DCF Model'!V5,Assumptions!$C$38:$M$38))*(V16+V17)</f>
        <v>-20097.65625</v>
      </c>
      <c r="W24" s="40">
        <f>-INDEX(Assumptions!$C$45:$M$45,MATCH('DCF Model'!W5,Assumptions!$C$38:$M$38))*(W16+W17)</f>
        <v>-20097.65625</v>
      </c>
      <c r="X24" s="40">
        <f>-INDEX(Assumptions!$C$45:$M$45,MATCH('DCF Model'!X5,Assumptions!$C$38:$M$38))*(X16+X17)</f>
        <v>-20097.65625</v>
      </c>
      <c r="Y24" s="40">
        <f>-INDEX(Assumptions!$C$45:$M$45,MATCH('DCF Model'!Y5,Assumptions!$C$38:$M$38))*(Y16+Y17)</f>
        <v>-20097.65625</v>
      </c>
      <c r="Z24" s="40">
        <f>-INDEX(Assumptions!$C$45:$M$45,MATCH('DCF Model'!Z5,Assumptions!$C$38:$M$38))*(Z16+Z17)</f>
        <v>-20097.65625</v>
      </c>
      <c r="AA24" s="40">
        <f>-INDEX(Assumptions!$C$45:$M$45,MATCH('DCF Model'!AA5,Assumptions!$C$38:$M$38))*(AA16+AA17)</f>
        <v>-20097.65625</v>
      </c>
      <c r="AB24" s="40">
        <f>-INDEX(Assumptions!$C$45:$M$45,MATCH('DCF Model'!AB5,Assumptions!$C$38:$M$38))*(AB16+AB17)</f>
        <v>-20097.65625</v>
      </c>
      <c r="AC24" s="40">
        <f>-INDEX(Assumptions!$C$45:$M$45,MATCH('DCF Model'!AC5,Assumptions!$C$38:$M$38))*(AC16+AC17)</f>
        <v>-20097.65625</v>
      </c>
      <c r="AD24" s="40">
        <f>-INDEX(Assumptions!$C$45:$M$45,MATCH('DCF Model'!AD5,Assumptions!$C$38:$M$38))*(AD16+AD17)</f>
        <v>-20097.65625</v>
      </c>
      <c r="AE24" s="40">
        <f>-INDEX(Assumptions!$C$45:$M$45,MATCH('DCF Model'!AE5,Assumptions!$C$38:$M$38))*(AE16+AE17)</f>
        <v>-14631.093750000002</v>
      </c>
      <c r="AF24" s="40">
        <f>-INDEX(Assumptions!$C$45:$M$45,MATCH('DCF Model'!AF5,Assumptions!$C$38:$M$38))*(AF16+AF17)</f>
        <v>-14631.093750000002</v>
      </c>
      <c r="AG24" s="40">
        <f>-INDEX(Assumptions!$C$45:$M$45,MATCH('DCF Model'!AG5,Assumptions!$C$38:$M$38))*(AG16+AG17)</f>
        <v>-14631.093750000002</v>
      </c>
      <c r="AH24" s="40">
        <f>-INDEX(Assumptions!$C$45:$M$45,MATCH('DCF Model'!AH5,Assumptions!$C$38:$M$38))*(AH16+AH17)</f>
        <v>-14631.093750000002</v>
      </c>
      <c r="AI24" s="40">
        <f>-INDEX(Assumptions!$C$45:$M$45,MATCH('DCF Model'!AI5,Assumptions!$C$38:$M$38))*(AI16+AI17)</f>
        <v>-14631.093750000002</v>
      </c>
      <c r="AJ24" s="40">
        <f>-INDEX(Assumptions!$C$45:$M$45,MATCH('DCF Model'!AJ5,Assumptions!$C$38:$M$38))*(AJ16+AJ17)</f>
        <v>-14631.093750000002</v>
      </c>
      <c r="AK24" s="40">
        <f>-INDEX(Assumptions!$C$45:$M$45,MATCH('DCF Model'!AK5,Assumptions!$C$38:$M$38))*(AK16+AK17)</f>
        <v>-14631.093750000002</v>
      </c>
      <c r="AL24" s="40">
        <f>-INDEX(Assumptions!$C$45:$M$45,MATCH('DCF Model'!AL5,Assumptions!$C$38:$M$38))*(AL16+AL17)</f>
        <v>-14631.093750000002</v>
      </c>
      <c r="AM24" s="40">
        <f>-INDEX(Assumptions!$C$45:$M$45,MATCH('DCF Model'!AM5,Assumptions!$C$38:$M$38))*(AM16+AM17)</f>
        <v>-14631.093750000002</v>
      </c>
      <c r="AN24" s="40">
        <f>-INDEX(Assumptions!$C$45:$M$45,MATCH('DCF Model'!AN5,Assumptions!$C$38:$M$38))*(AN16+AN17)</f>
        <v>-14631.093750000002</v>
      </c>
      <c r="AO24" s="40">
        <f>-INDEX(Assumptions!$C$45:$M$45,MATCH('DCF Model'!AO5,Assumptions!$C$38:$M$38))*(AO16+AO17)</f>
        <v>-14631.093750000002</v>
      </c>
      <c r="AP24" s="40">
        <f>-INDEX(Assumptions!$C$45:$M$45,MATCH('DCF Model'!AP5,Assumptions!$C$38:$M$38))*(AP16+AP17)</f>
        <v>-14631.093750000002</v>
      </c>
      <c r="AQ24" s="40">
        <f>-INDEX(Assumptions!$C$45:$M$45,MATCH('DCF Model'!AQ5,Assumptions!$C$38:$M$38))*(AQ16+AQ17)</f>
        <v>-8611.4437500000004</v>
      </c>
      <c r="AR24" s="40">
        <f>-INDEX(Assumptions!$C$45:$M$45,MATCH('DCF Model'!AR5,Assumptions!$C$38:$M$38))*(AR16+AR17)</f>
        <v>-8611.4437500000004</v>
      </c>
      <c r="AS24" s="40">
        <f>-INDEX(Assumptions!$C$45:$M$45,MATCH('DCF Model'!AS5,Assumptions!$C$38:$M$38))*(AS16+AS17)</f>
        <v>-8611.4437500000004</v>
      </c>
      <c r="AT24" s="40">
        <f>-INDEX(Assumptions!$C$45:$M$45,MATCH('DCF Model'!AT5,Assumptions!$C$38:$M$38))*(AT16+AT17)</f>
        <v>-8611.4437500000004</v>
      </c>
      <c r="AU24" s="40">
        <f>-INDEX(Assumptions!$C$45:$M$45,MATCH('DCF Model'!AU5,Assumptions!$C$38:$M$38))*(AU16+AU17)</f>
        <v>-8611.4437500000004</v>
      </c>
      <c r="AV24" s="40">
        <f>-INDEX(Assumptions!$C$45:$M$45,MATCH('DCF Model'!AV5,Assumptions!$C$38:$M$38))*(AV16+AV17)</f>
        <v>-8611.4437500000004</v>
      </c>
      <c r="AW24" s="40">
        <f>-INDEX(Assumptions!$C$45:$M$45,MATCH('DCF Model'!AW5,Assumptions!$C$38:$M$38))*(AW16+AW17)</f>
        <v>-8611.4437500000004</v>
      </c>
      <c r="AX24" s="40">
        <f>-INDEX(Assumptions!$C$45:$M$45,MATCH('DCF Model'!AX5,Assumptions!$C$38:$M$38))*(AX16+AX17)</f>
        <v>-8611.4437500000004</v>
      </c>
      <c r="AY24" s="40">
        <f>-INDEX(Assumptions!$C$45:$M$45,MATCH('DCF Model'!AY5,Assumptions!$C$38:$M$38))*(AY16+AY17)</f>
        <v>-8611.4437500000004</v>
      </c>
      <c r="AZ24" s="40">
        <f>-INDEX(Assumptions!$C$45:$M$45,MATCH('DCF Model'!AZ5,Assumptions!$C$38:$M$38))*(AZ16+AZ17)</f>
        <v>-8611.4437500000004</v>
      </c>
      <c r="BA24" s="40">
        <f>-INDEX(Assumptions!$C$45:$M$45,MATCH('DCF Model'!BA5,Assumptions!$C$38:$M$38))*(BA16+BA17)</f>
        <v>-8611.4437500000004</v>
      </c>
      <c r="BB24" s="40">
        <f>-INDEX(Assumptions!$C$45:$M$45,MATCH('DCF Model'!BB5,Assumptions!$C$38:$M$38))*(BB16+BB17)</f>
        <v>-8611.4437500000004</v>
      </c>
      <c r="BC24" s="40">
        <f>-INDEX(Assumptions!$C$45:$M$45,MATCH('DCF Model'!BC5,Assumptions!$C$38:$M$38))*(BC16+BC17)</f>
        <v>-8869.7870624999996</v>
      </c>
      <c r="BD24" s="40">
        <f>-INDEX(Assumptions!$C$45:$M$45,MATCH('DCF Model'!BD5,Assumptions!$C$38:$M$38))*(BD16+BD17)</f>
        <v>-8869.7870624999996</v>
      </c>
      <c r="BE24" s="40">
        <f>-INDEX(Assumptions!$C$45:$M$45,MATCH('DCF Model'!BE5,Assumptions!$C$38:$M$38))*(BE16+BE17)</f>
        <v>-8869.7870624999996</v>
      </c>
      <c r="BF24" s="40">
        <f>-INDEX(Assumptions!$C$45:$M$45,MATCH('DCF Model'!BF5,Assumptions!$C$38:$M$38))*(BF16+BF17)</f>
        <v>-8869.7870624999996</v>
      </c>
      <c r="BG24" s="40">
        <f>-INDEX(Assumptions!$C$45:$M$45,MATCH('DCF Model'!BG5,Assumptions!$C$38:$M$38))*(BG16+BG17)</f>
        <v>-8869.7870624999996</v>
      </c>
      <c r="BH24" s="40">
        <f>-INDEX(Assumptions!$C$45:$M$45,MATCH('DCF Model'!BH5,Assumptions!$C$38:$M$38))*(BH16+BH17)</f>
        <v>-8869.7870624999996</v>
      </c>
      <c r="BI24" s="40">
        <f>-INDEX(Assumptions!$C$45:$M$45,MATCH('DCF Model'!BI5,Assumptions!$C$38:$M$38))*(BI16+BI17)</f>
        <v>-8869.7870624999996</v>
      </c>
      <c r="BJ24" s="40">
        <f>-INDEX(Assumptions!$C$45:$M$45,MATCH('DCF Model'!BJ5,Assumptions!$C$38:$M$38))*(BJ16+BJ17)</f>
        <v>-8869.7870624999996</v>
      </c>
      <c r="BK24" s="40">
        <f>-INDEX(Assumptions!$C$45:$M$45,MATCH('DCF Model'!BK5,Assumptions!$C$38:$M$38))*(BK16+BK17)</f>
        <v>-8869.7870624999996</v>
      </c>
      <c r="BL24" s="40">
        <f>-INDEX(Assumptions!$C$45:$M$45,MATCH('DCF Model'!BL5,Assumptions!$C$38:$M$38))*(BL16+BL17)</f>
        <v>-8869.7870624999996</v>
      </c>
      <c r="BM24" s="40">
        <f>-INDEX(Assumptions!$C$45:$M$45,MATCH('DCF Model'!BM5,Assumptions!$C$38:$M$38))*(BM16+BM17)</f>
        <v>-8869.7870624999996</v>
      </c>
      <c r="BN24" s="40">
        <f>-INDEX(Assumptions!$C$45:$M$45,MATCH('DCF Model'!BN5,Assumptions!$C$38:$M$38))*(BN16+BN17)</f>
        <v>-8869.7870624999996</v>
      </c>
      <c r="BO24" s="40">
        <f>-INDEX(Assumptions!$C$45:$M$45,MATCH('DCF Model'!BO5,Assumptions!$C$38:$M$38))*(BO16+BO17)</f>
        <v>-9135.880674375001</v>
      </c>
      <c r="BP24" s="40">
        <f>-INDEX(Assumptions!$C$45:$M$45,MATCH('DCF Model'!BP5,Assumptions!$C$38:$M$38))*(BP16+BP17)</f>
        <v>-9135.880674375001</v>
      </c>
      <c r="BQ24" s="40">
        <f>-INDEX(Assumptions!$C$45:$M$45,MATCH('DCF Model'!BQ5,Assumptions!$C$38:$M$38))*(BQ16+BQ17)</f>
        <v>-9135.880674375001</v>
      </c>
      <c r="BR24" s="40">
        <f>-INDEX(Assumptions!$C$45:$M$45,MATCH('DCF Model'!BR5,Assumptions!$C$38:$M$38))*(BR16+BR17)</f>
        <v>-9135.880674375001</v>
      </c>
      <c r="BS24" s="40">
        <f>-INDEX(Assumptions!$C$45:$M$45,MATCH('DCF Model'!BS5,Assumptions!$C$38:$M$38))*(BS16+BS17)</f>
        <v>-9135.880674375001</v>
      </c>
      <c r="BT24" s="40">
        <f>-INDEX(Assumptions!$C$45:$M$45,MATCH('DCF Model'!BT5,Assumptions!$C$38:$M$38))*(BT16+BT17)</f>
        <v>-9135.880674375001</v>
      </c>
      <c r="BU24" s="40">
        <f>-INDEX(Assumptions!$C$45:$M$45,MATCH('DCF Model'!BU5,Assumptions!$C$38:$M$38))*(BU16+BU17)</f>
        <v>-9135.880674375001</v>
      </c>
      <c r="BV24" s="40">
        <f>-INDEX(Assumptions!$C$45:$M$45,MATCH('DCF Model'!BV5,Assumptions!$C$38:$M$38))*(BV16+BV17)</f>
        <v>-9135.880674375001</v>
      </c>
      <c r="BW24" s="40">
        <f>-INDEX(Assumptions!$C$45:$M$45,MATCH('DCF Model'!BW5,Assumptions!$C$38:$M$38))*(BW16+BW17)</f>
        <v>-9135.880674375001</v>
      </c>
      <c r="BX24" s="40">
        <f>-INDEX(Assumptions!$C$45:$M$45,MATCH('DCF Model'!BX5,Assumptions!$C$38:$M$38))*(BX16+BX17)</f>
        <v>-9135.880674375001</v>
      </c>
      <c r="BY24" s="40">
        <f>-INDEX(Assumptions!$C$45:$M$45,MATCH('DCF Model'!BY5,Assumptions!$C$38:$M$38))*(BY16+BY17)</f>
        <v>-9135.880674375001</v>
      </c>
      <c r="BZ24" s="40">
        <f>-INDEX(Assumptions!$C$45:$M$45,MATCH('DCF Model'!BZ5,Assumptions!$C$38:$M$38))*(BZ16+BZ17)</f>
        <v>-9135.880674375001</v>
      </c>
      <c r="CA24" s="40">
        <f>-INDEX(Assumptions!$C$45:$M$45,MATCH('DCF Model'!CA5,Assumptions!$C$38:$M$38))*(CA16+CA17)</f>
        <v>-9409.9570946062504</v>
      </c>
      <c r="CB24" s="40">
        <f>-INDEX(Assumptions!$C$45:$M$45,MATCH('DCF Model'!CB5,Assumptions!$C$38:$M$38))*(CB16+CB17)</f>
        <v>-9409.9570946062504</v>
      </c>
      <c r="CC24" s="40">
        <f>-INDEX(Assumptions!$C$45:$M$45,MATCH('DCF Model'!CC5,Assumptions!$C$38:$M$38))*(CC16+CC17)</f>
        <v>-9409.9570946062504</v>
      </c>
      <c r="CD24" s="40">
        <f>-INDEX(Assumptions!$C$45:$M$45,MATCH('DCF Model'!CD5,Assumptions!$C$38:$M$38))*(CD16+CD17)</f>
        <v>-9409.9570946062504</v>
      </c>
      <c r="CE24" s="40">
        <f>-INDEX(Assumptions!$C$45:$M$45,MATCH('DCF Model'!CE5,Assumptions!$C$38:$M$38))*(CE16+CE17)</f>
        <v>-9409.9570946062504</v>
      </c>
      <c r="CF24" s="40">
        <f>-INDEX(Assumptions!$C$45:$M$45,MATCH('DCF Model'!CF5,Assumptions!$C$38:$M$38))*(CF16+CF17)</f>
        <v>-9409.9570946062504</v>
      </c>
      <c r="CG24" s="40">
        <f>-INDEX(Assumptions!$C$45:$M$45,MATCH('DCF Model'!CG5,Assumptions!$C$38:$M$38))*(CG16+CG17)</f>
        <v>-9409.9570946062504</v>
      </c>
      <c r="CH24" s="40">
        <f>-INDEX(Assumptions!$C$45:$M$45,MATCH('DCF Model'!CH5,Assumptions!$C$38:$M$38))*(CH16+CH17)</f>
        <v>-9409.9570946062504</v>
      </c>
      <c r="CI24" s="40">
        <f>-INDEX(Assumptions!$C$45:$M$45,MATCH('DCF Model'!CI5,Assumptions!$C$38:$M$38))*(CI16+CI17)</f>
        <v>-9409.9570946062504</v>
      </c>
      <c r="CJ24" s="40">
        <f>-INDEX(Assumptions!$C$45:$M$45,MATCH('DCF Model'!CJ5,Assumptions!$C$38:$M$38))*(CJ16+CJ17)</f>
        <v>-9409.9570946062504</v>
      </c>
      <c r="CK24" s="40">
        <f>-INDEX(Assumptions!$C$45:$M$45,MATCH('DCF Model'!CK5,Assumptions!$C$38:$M$38))*(CK16+CK17)</f>
        <v>-9409.9570946062504</v>
      </c>
      <c r="CL24" s="40">
        <f>-INDEX(Assumptions!$C$45:$M$45,MATCH('DCF Model'!CL5,Assumptions!$C$38:$M$38))*(CL16+CL17)</f>
        <v>-9409.9570946062504</v>
      </c>
      <c r="CM24" s="119">
        <f>-INDEX(Assumptions!$C$45:$M$45,MATCH('DCF Model'!CM5,Assumptions!$C$38:$M$38))*(CM16+CM17)</f>
        <v>-9692.2558074444369</v>
      </c>
      <c r="CN24" s="119">
        <f>-INDEX(Assumptions!$C$45:$M$45,MATCH('DCF Model'!CN5,Assumptions!$C$38:$M$38))*(CN16+CN17)</f>
        <v>-9692.2558074444369</v>
      </c>
      <c r="CO24" s="119">
        <f>-INDEX(Assumptions!$C$45:$M$45,MATCH('DCF Model'!CO5,Assumptions!$C$38:$M$38))*(CO16+CO17)</f>
        <v>-9692.2558074444369</v>
      </c>
      <c r="CP24" s="119">
        <f>-INDEX(Assumptions!$C$45:$M$45,MATCH('DCF Model'!CP5,Assumptions!$C$38:$M$38))*(CP16+CP17)</f>
        <v>-9692.2558074444369</v>
      </c>
      <c r="CQ24" s="119">
        <f>-INDEX(Assumptions!$C$45:$M$45,MATCH('DCF Model'!CQ5,Assumptions!$C$38:$M$38))*(CQ16+CQ17)</f>
        <v>-9692.2558074444369</v>
      </c>
      <c r="CR24" s="119">
        <f>-INDEX(Assumptions!$C$45:$M$45,MATCH('DCF Model'!CR5,Assumptions!$C$38:$M$38))*(CR16+CR17)</f>
        <v>-9692.2558074444369</v>
      </c>
      <c r="CS24" s="119">
        <f>-INDEX(Assumptions!$C$45:$M$45,MATCH('DCF Model'!CS5,Assumptions!$C$38:$M$38))*(CS16+CS17)</f>
        <v>-9692.2558074444369</v>
      </c>
      <c r="CT24" s="119">
        <f>-INDEX(Assumptions!$C$45:$M$45,MATCH('DCF Model'!CT5,Assumptions!$C$38:$M$38))*(CT16+CT17)</f>
        <v>-9692.2558074444369</v>
      </c>
      <c r="CU24" s="119">
        <f>-INDEX(Assumptions!$C$45:$M$45,MATCH('DCF Model'!CU5,Assumptions!$C$38:$M$38))*(CU16+CU17)</f>
        <v>-9692.2558074444369</v>
      </c>
      <c r="CV24" s="119">
        <f>-INDEX(Assumptions!$C$45:$M$45,MATCH('DCF Model'!CV5,Assumptions!$C$38:$M$38))*(CV16+CV17)</f>
        <v>-9692.2558074444369</v>
      </c>
      <c r="CW24" s="119">
        <f>-INDEX(Assumptions!$C$45:$M$45,MATCH('DCF Model'!CW5,Assumptions!$C$38:$M$38))*(CW16+CW17)</f>
        <v>-9692.2558074444369</v>
      </c>
      <c r="CX24" s="119">
        <f>-INDEX(Assumptions!$C$45:$M$45,MATCH('DCF Model'!CX5,Assumptions!$C$38:$M$38))*(CX16+CX17)</f>
        <v>-9692.2558074444369</v>
      </c>
    </row>
    <row r="25" spans="2:103" ht="12.6" customHeight="1" x14ac:dyDescent="0.2">
      <c r="B25" s="117" t="s">
        <v>103</v>
      </c>
      <c r="D25" s="40">
        <f>Assumptions!L26</f>
        <v>-110485</v>
      </c>
      <c r="E25" s="31"/>
      <c r="G25" s="40">
        <f>-INDEX(Assumptions!$C$47:$M$47,MATCH('DCF Model'!G5,Assumptions!$C$38:$M$38))*(G$16+G$17)</f>
        <v>-7656.25</v>
      </c>
      <c r="H25" s="40">
        <f>-INDEX(Assumptions!$C$47:$M$47,MATCH('DCF Model'!H5,Assumptions!$C$38:$M$38))*(H$16+H$17)</f>
        <v>-7656.25</v>
      </c>
      <c r="I25" s="40">
        <f>-INDEX(Assumptions!$C$47:$M$47,MATCH('DCF Model'!I5,Assumptions!$C$38:$M$38))*(I$16+I$17)</f>
        <v>-7656.25</v>
      </c>
      <c r="J25" s="40">
        <f>-INDEX(Assumptions!$C$47:$M$47,MATCH('DCF Model'!J5,Assumptions!$C$38:$M$38))*(J$16+J$17)</f>
        <v>-7656.25</v>
      </c>
      <c r="K25" s="40">
        <f>-INDEX(Assumptions!$C$47:$M$47,MATCH('DCF Model'!K5,Assumptions!$C$38:$M$38))*(K$16+K$17)</f>
        <v>-7656.25</v>
      </c>
      <c r="L25" s="40">
        <f>-INDEX(Assumptions!$C$47:$M$47,MATCH('DCF Model'!L5,Assumptions!$C$38:$M$38))*(L$16+L$17)</f>
        <v>-7656.25</v>
      </c>
      <c r="M25" s="40">
        <f>-INDEX(Assumptions!$C$47:$M$47,MATCH('DCF Model'!M5,Assumptions!$C$38:$M$38))*(M$16+M$17)</f>
        <v>-7656.25</v>
      </c>
      <c r="N25" s="40">
        <f>-INDEX(Assumptions!$C$47:$M$47,MATCH('DCF Model'!N5,Assumptions!$C$38:$M$38))*(N$16+N$17)</f>
        <v>-7656.25</v>
      </c>
      <c r="O25" s="40">
        <f>-INDEX(Assumptions!$C$47:$M$47,MATCH('DCF Model'!O5,Assumptions!$C$38:$M$38))*(O$16+O$17)</f>
        <v>-7656.25</v>
      </c>
      <c r="P25" s="40">
        <f>-INDEX(Assumptions!$C$47:$M$47,MATCH('DCF Model'!P5,Assumptions!$C$38:$M$38))*(P$16+P$17)</f>
        <v>-7656.25</v>
      </c>
      <c r="Q25" s="40">
        <f>-INDEX(Assumptions!$C$47:$M$47,MATCH('DCF Model'!Q5,Assumptions!$C$38:$M$38))*(Q$16+Q$17)</f>
        <v>-7656.25</v>
      </c>
      <c r="R25" s="40">
        <f>-INDEX(Assumptions!$C$47:$M$47,MATCH('DCF Model'!R5,Assumptions!$C$38:$M$38))*(R$16+R$17)</f>
        <v>-7656.25</v>
      </c>
      <c r="S25" s="40">
        <f>-INDEX(Assumptions!$C$47:$M$47,MATCH('DCF Model'!S5,Assumptions!$C$38:$M$38))*(S$16+S$17)</f>
        <v>-8039.0625</v>
      </c>
      <c r="T25" s="40">
        <f>-INDEX(Assumptions!$C$47:$M$47,MATCH('DCF Model'!T5,Assumptions!$C$38:$M$38))*(T$16+T$17)</f>
        <v>-8039.0625</v>
      </c>
      <c r="U25" s="40">
        <f>-INDEX(Assumptions!$C$47:$M$47,MATCH('DCF Model'!U5,Assumptions!$C$38:$M$38))*(U$16+U$17)</f>
        <v>-8039.0625</v>
      </c>
      <c r="V25" s="40">
        <f>-INDEX(Assumptions!$C$47:$M$47,MATCH('DCF Model'!V5,Assumptions!$C$38:$M$38))*(V$16+V$17)</f>
        <v>-8039.0625</v>
      </c>
      <c r="W25" s="40">
        <f>-INDEX(Assumptions!$C$47:$M$47,MATCH('DCF Model'!W5,Assumptions!$C$38:$M$38))*(W$16+W$17)</f>
        <v>-8039.0625</v>
      </c>
      <c r="X25" s="40">
        <f>-INDEX(Assumptions!$C$47:$M$47,MATCH('DCF Model'!X5,Assumptions!$C$38:$M$38))*(X$16+X$17)</f>
        <v>-8039.0625</v>
      </c>
      <c r="Y25" s="40">
        <f>-INDEX(Assumptions!$C$47:$M$47,MATCH('DCF Model'!Y5,Assumptions!$C$38:$M$38))*(Y$16+Y$17)</f>
        <v>-8039.0625</v>
      </c>
      <c r="Z25" s="40">
        <f>-INDEX(Assumptions!$C$47:$M$47,MATCH('DCF Model'!Z5,Assumptions!$C$38:$M$38))*(Z$16+Z$17)</f>
        <v>-8039.0625</v>
      </c>
      <c r="AA25" s="40">
        <f>-INDEX(Assumptions!$C$47:$M$47,MATCH('DCF Model'!AA5,Assumptions!$C$38:$M$38))*(AA$16+AA$17)</f>
        <v>-8039.0625</v>
      </c>
      <c r="AB25" s="40">
        <f>-INDEX(Assumptions!$C$47:$M$47,MATCH('DCF Model'!AB5,Assumptions!$C$38:$M$38))*(AB$16+AB$17)</f>
        <v>-8039.0625</v>
      </c>
      <c r="AC25" s="40">
        <f>-INDEX(Assumptions!$C$47:$M$47,MATCH('DCF Model'!AC5,Assumptions!$C$38:$M$38))*(AC$16+AC$17)</f>
        <v>-8039.0625</v>
      </c>
      <c r="AD25" s="40">
        <f>-INDEX(Assumptions!$C$47:$M$47,MATCH('DCF Model'!AD5,Assumptions!$C$38:$M$38))*(AD$16+AD$17)</f>
        <v>-8039.0625</v>
      </c>
      <c r="AE25" s="40">
        <f>-INDEX(Assumptions!$C$47:$M$47,MATCH('DCF Model'!AE5,Assumptions!$C$38:$M$38))*(AE$16+AE$17)</f>
        <v>-8360.625</v>
      </c>
      <c r="AF25" s="40">
        <f>-INDEX(Assumptions!$C$47:$M$47,MATCH('DCF Model'!AF5,Assumptions!$C$38:$M$38))*(AF$16+AF$17)</f>
        <v>-8360.625</v>
      </c>
      <c r="AG25" s="40">
        <f>-INDEX(Assumptions!$C$47:$M$47,MATCH('DCF Model'!AG5,Assumptions!$C$38:$M$38))*(AG$16+AG$17)</f>
        <v>-8360.625</v>
      </c>
      <c r="AH25" s="40">
        <f>-INDEX(Assumptions!$C$47:$M$47,MATCH('DCF Model'!AH5,Assumptions!$C$38:$M$38))*(AH$16+AH$17)</f>
        <v>-8360.625</v>
      </c>
      <c r="AI25" s="40">
        <f>-INDEX(Assumptions!$C$47:$M$47,MATCH('DCF Model'!AI5,Assumptions!$C$38:$M$38))*(AI$16+AI$17)</f>
        <v>-8360.625</v>
      </c>
      <c r="AJ25" s="40">
        <f>-INDEX(Assumptions!$C$47:$M$47,MATCH('DCF Model'!AJ5,Assumptions!$C$38:$M$38))*(AJ$16+AJ$17)</f>
        <v>-8360.625</v>
      </c>
      <c r="AK25" s="40">
        <f>-INDEX(Assumptions!$C$47:$M$47,MATCH('DCF Model'!AK5,Assumptions!$C$38:$M$38))*(AK$16+AK$17)</f>
        <v>-8360.625</v>
      </c>
      <c r="AL25" s="40">
        <f>-INDEX(Assumptions!$C$47:$M$47,MATCH('DCF Model'!AL5,Assumptions!$C$38:$M$38))*(AL$16+AL$17)</f>
        <v>-8360.625</v>
      </c>
      <c r="AM25" s="40">
        <f>-INDEX(Assumptions!$C$47:$M$47,MATCH('DCF Model'!AM5,Assumptions!$C$38:$M$38))*(AM$16+AM$17)</f>
        <v>-8360.625</v>
      </c>
      <c r="AN25" s="40">
        <f>-INDEX(Assumptions!$C$47:$M$47,MATCH('DCF Model'!AN5,Assumptions!$C$38:$M$38))*(AN$16+AN$17)</f>
        <v>-8360.625</v>
      </c>
      <c r="AO25" s="40">
        <f>-INDEX(Assumptions!$C$47:$M$47,MATCH('DCF Model'!AO5,Assumptions!$C$38:$M$38))*(AO$16+AO$17)</f>
        <v>-8360.625</v>
      </c>
      <c r="AP25" s="40">
        <f>-INDEX(Assumptions!$C$47:$M$47,MATCH('DCF Model'!AP5,Assumptions!$C$38:$M$38))*(AP$16+AP$17)</f>
        <v>-8360.625</v>
      </c>
      <c r="AQ25" s="40">
        <f>-INDEX(Assumptions!$C$47:$M$47,MATCH('DCF Model'!AQ5,Assumptions!$C$38:$M$38))*(AQ$16+AQ$17)</f>
        <v>-8611.4437500000004</v>
      </c>
      <c r="AR25" s="40">
        <f>-INDEX(Assumptions!$C$47:$M$47,MATCH('DCF Model'!AR5,Assumptions!$C$38:$M$38))*(AR$16+AR$17)</f>
        <v>-8611.4437500000004</v>
      </c>
      <c r="AS25" s="40">
        <f>-INDEX(Assumptions!$C$47:$M$47,MATCH('DCF Model'!AS5,Assumptions!$C$38:$M$38))*(AS$16+AS$17)</f>
        <v>-8611.4437500000004</v>
      </c>
      <c r="AT25" s="40">
        <f>-INDEX(Assumptions!$C$47:$M$47,MATCH('DCF Model'!AT5,Assumptions!$C$38:$M$38))*(AT$16+AT$17)</f>
        <v>-8611.4437500000004</v>
      </c>
      <c r="AU25" s="40">
        <f>-INDEX(Assumptions!$C$47:$M$47,MATCH('DCF Model'!AU5,Assumptions!$C$38:$M$38))*(AU$16+AU$17)</f>
        <v>-8611.4437500000004</v>
      </c>
      <c r="AV25" s="40">
        <f>-INDEX(Assumptions!$C$47:$M$47,MATCH('DCF Model'!AV5,Assumptions!$C$38:$M$38))*(AV$16+AV$17)</f>
        <v>-8611.4437500000004</v>
      </c>
      <c r="AW25" s="40">
        <f>-INDEX(Assumptions!$C$47:$M$47,MATCH('DCF Model'!AW5,Assumptions!$C$38:$M$38))*(AW$16+AW$17)</f>
        <v>-8611.4437500000004</v>
      </c>
      <c r="AX25" s="40">
        <f>-INDEX(Assumptions!$C$47:$M$47,MATCH('DCF Model'!AX5,Assumptions!$C$38:$M$38))*(AX$16+AX$17)</f>
        <v>-8611.4437500000004</v>
      </c>
      <c r="AY25" s="40">
        <f>-INDEX(Assumptions!$C$47:$M$47,MATCH('DCF Model'!AY5,Assumptions!$C$38:$M$38))*(AY$16+AY$17)</f>
        <v>-8611.4437500000004</v>
      </c>
      <c r="AZ25" s="40">
        <f>-INDEX(Assumptions!$C$47:$M$47,MATCH('DCF Model'!AZ5,Assumptions!$C$38:$M$38))*(AZ$16+AZ$17)</f>
        <v>-8611.4437500000004</v>
      </c>
      <c r="BA25" s="40">
        <f>-INDEX(Assumptions!$C$47:$M$47,MATCH('DCF Model'!BA5,Assumptions!$C$38:$M$38))*(BA$16+BA$17)</f>
        <v>-8611.4437500000004</v>
      </c>
      <c r="BB25" s="40">
        <f>-INDEX(Assumptions!$C$47:$M$47,MATCH('DCF Model'!BB5,Assumptions!$C$38:$M$38))*(BB$16+BB$17)</f>
        <v>-8611.4437500000004</v>
      </c>
      <c r="BC25" s="40">
        <f>-INDEX(Assumptions!$C$47:$M$47,MATCH('DCF Model'!BC5,Assumptions!$C$38:$M$38))*(BC$16+BC$17)</f>
        <v>-8869.7870624999996</v>
      </c>
      <c r="BD25" s="40">
        <f>-INDEX(Assumptions!$C$47:$M$47,MATCH('DCF Model'!BD5,Assumptions!$C$38:$M$38))*(BD$16+BD$17)</f>
        <v>-8869.7870624999996</v>
      </c>
      <c r="BE25" s="40">
        <f>-INDEX(Assumptions!$C$47:$M$47,MATCH('DCF Model'!BE5,Assumptions!$C$38:$M$38))*(BE$16+BE$17)</f>
        <v>-8869.7870624999996</v>
      </c>
      <c r="BF25" s="40">
        <f>-INDEX(Assumptions!$C$47:$M$47,MATCH('DCF Model'!BF5,Assumptions!$C$38:$M$38))*(BF$16+BF$17)</f>
        <v>-8869.7870624999996</v>
      </c>
      <c r="BG25" s="40">
        <f>-INDEX(Assumptions!$C$47:$M$47,MATCH('DCF Model'!BG5,Assumptions!$C$38:$M$38))*(BG$16+BG$17)</f>
        <v>-8869.7870624999996</v>
      </c>
      <c r="BH25" s="40">
        <f>-INDEX(Assumptions!$C$47:$M$47,MATCH('DCF Model'!BH5,Assumptions!$C$38:$M$38))*(BH$16+BH$17)</f>
        <v>-8869.7870624999996</v>
      </c>
      <c r="BI25" s="40">
        <f>-INDEX(Assumptions!$C$47:$M$47,MATCH('DCF Model'!BI5,Assumptions!$C$38:$M$38))*(BI$16+BI$17)</f>
        <v>-8869.7870624999996</v>
      </c>
      <c r="BJ25" s="40">
        <f>-INDEX(Assumptions!$C$47:$M$47,MATCH('DCF Model'!BJ5,Assumptions!$C$38:$M$38))*(BJ$16+BJ$17)</f>
        <v>-8869.7870624999996</v>
      </c>
      <c r="BK25" s="40">
        <f>-INDEX(Assumptions!$C$47:$M$47,MATCH('DCF Model'!BK5,Assumptions!$C$38:$M$38))*(BK$16+BK$17)</f>
        <v>-8869.7870624999996</v>
      </c>
      <c r="BL25" s="40">
        <f>-INDEX(Assumptions!$C$47:$M$47,MATCH('DCF Model'!BL5,Assumptions!$C$38:$M$38))*(BL$16+BL$17)</f>
        <v>-8869.7870624999996</v>
      </c>
      <c r="BM25" s="40">
        <f>-INDEX(Assumptions!$C$47:$M$47,MATCH('DCF Model'!BM5,Assumptions!$C$38:$M$38))*(BM$16+BM$17)</f>
        <v>-8869.7870624999996</v>
      </c>
      <c r="BN25" s="40">
        <f>-INDEX(Assumptions!$C$47:$M$47,MATCH('DCF Model'!BN5,Assumptions!$C$38:$M$38))*(BN$16+BN$17)</f>
        <v>-8869.7870624999996</v>
      </c>
      <c r="BO25" s="40">
        <f>-INDEX(Assumptions!$C$47:$M$47,MATCH('DCF Model'!BO5,Assumptions!$C$38:$M$38))*(BO$16+BO$17)</f>
        <v>-9135.880674375001</v>
      </c>
      <c r="BP25" s="40">
        <f>-INDEX(Assumptions!$C$47:$M$47,MATCH('DCF Model'!BP5,Assumptions!$C$38:$M$38))*(BP$16+BP$17)</f>
        <v>-9135.880674375001</v>
      </c>
      <c r="BQ25" s="40">
        <f>-INDEX(Assumptions!$C$47:$M$47,MATCH('DCF Model'!BQ5,Assumptions!$C$38:$M$38))*(BQ$16+BQ$17)</f>
        <v>-9135.880674375001</v>
      </c>
      <c r="BR25" s="40">
        <f>-INDEX(Assumptions!$C$47:$M$47,MATCH('DCF Model'!BR5,Assumptions!$C$38:$M$38))*(BR$16+BR$17)</f>
        <v>-9135.880674375001</v>
      </c>
      <c r="BS25" s="40">
        <f>-INDEX(Assumptions!$C$47:$M$47,MATCH('DCF Model'!BS5,Assumptions!$C$38:$M$38))*(BS$16+BS$17)</f>
        <v>-9135.880674375001</v>
      </c>
      <c r="BT25" s="40">
        <f>-INDEX(Assumptions!$C$47:$M$47,MATCH('DCF Model'!BT5,Assumptions!$C$38:$M$38))*(BT$16+BT$17)</f>
        <v>-9135.880674375001</v>
      </c>
      <c r="BU25" s="40">
        <f>-INDEX(Assumptions!$C$47:$M$47,MATCH('DCF Model'!BU5,Assumptions!$C$38:$M$38))*(BU$16+BU$17)</f>
        <v>-9135.880674375001</v>
      </c>
      <c r="BV25" s="40">
        <f>-INDEX(Assumptions!$C$47:$M$47,MATCH('DCF Model'!BV5,Assumptions!$C$38:$M$38))*(BV$16+BV$17)</f>
        <v>-9135.880674375001</v>
      </c>
      <c r="BW25" s="40">
        <f>-INDEX(Assumptions!$C$47:$M$47,MATCH('DCF Model'!BW5,Assumptions!$C$38:$M$38))*(BW$16+BW$17)</f>
        <v>-9135.880674375001</v>
      </c>
      <c r="BX25" s="40">
        <f>-INDEX(Assumptions!$C$47:$M$47,MATCH('DCF Model'!BX5,Assumptions!$C$38:$M$38))*(BX$16+BX$17)</f>
        <v>-9135.880674375001</v>
      </c>
      <c r="BY25" s="40">
        <f>-INDEX(Assumptions!$C$47:$M$47,MATCH('DCF Model'!BY5,Assumptions!$C$38:$M$38))*(BY$16+BY$17)</f>
        <v>-9135.880674375001</v>
      </c>
      <c r="BZ25" s="40">
        <f>-INDEX(Assumptions!$C$47:$M$47,MATCH('DCF Model'!BZ5,Assumptions!$C$38:$M$38))*(BZ$16+BZ$17)</f>
        <v>-9135.880674375001</v>
      </c>
      <c r="CA25" s="40">
        <f>-INDEX(Assumptions!$C$47:$M$47,MATCH('DCF Model'!CA5,Assumptions!$C$38:$M$38))*(CA$16+CA$17)</f>
        <v>-9409.9570946062504</v>
      </c>
      <c r="CB25" s="40">
        <f>-INDEX(Assumptions!$C$47:$M$47,MATCH('DCF Model'!CB5,Assumptions!$C$38:$M$38))*(CB$16+CB$17)</f>
        <v>-9409.9570946062504</v>
      </c>
      <c r="CC25" s="40">
        <f>-INDEX(Assumptions!$C$47:$M$47,MATCH('DCF Model'!CC5,Assumptions!$C$38:$M$38))*(CC$16+CC$17)</f>
        <v>-9409.9570946062504</v>
      </c>
      <c r="CD25" s="40">
        <f>-INDEX(Assumptions!$C$47:$M$47,MATCH('DCF Model'!CD5,Assumptions!$C$38:$M$38))*(CD$16+CD$17)</f>
        <v>-9409.9570946062504</v>
      </c>
      <c r="CE25" s="40">
        <f>-INDEX(Assumptions!$C$47:$M$47,MATCH('DCF Model'!CE5,Assumptions!$C$38:$M$38))*(CE$16+CE$17)</f>
        <v>-9409.9570946062504</v>
      </c>
      <c r="CF25" s="40">
        <f>-INDEX(Assumptions!$C$47:$M$47,MATCH('DCF Model'!CF5,Assumptions!$C$38:$M$38))*(CF$16+CF$17)</f>
        <v>-9409.9570946062504</v>
      </c>
      <c r="CG25" s="40">
        <f>-INDEX(Assumptions!$C$47:$M$47,MATCH('DCF Model'!CG5,Assumptions!$C$38:$M$38))*(CG$16+CG$17)</f>
        <v>-9409.9570946062504</v>
      </c>
      <c r="CH25" s="40">
        <f>-INDEX(Assumptions!$C$47:$M$47,MATCH('DCF Model'!CH5,Assumptions!$C$38:$M$38))*(CH$16+CH$17)</f>
        <v>-9409.9570946062504</v>
      </c>
      <c r="CI25" s="40">
        <f>-INDEX(Assumptions!$C$47:$M$47,MATCH('DCF Model'!CI5,Assumptions!$C$38:$M$38))*(CI$16+CI$17)</f>
        <v>-9409.9570946062504</v>
      </c>
      <c r="CJ25" s="40">
        <f>-INDEX(Assumptions!$C$47:$M$47,MATCH('DCF Model'!CJ5,Assumptions!$C$38:$M$38))*(CJ$16+CJ$17)</f>
        <v>-9409.9570946062504</v>
      </c>
      <c r="CK25" s="40">
        <f>-INDEX(Assumptions!$C$47:$M$47,MATCH('DCF Model'!CK5,Assumptions!$C$38:$M$38))*(CK$16+CK$17)</f>
        <v>-9409.9570946062504</v>
      </c>
      <c r="CL25" s="40">
        <f>-INDEX(Assumptions!$C$47:$M$47,MATCH('DCF Model'!CL5,Assumptions!$C$38:$M$38))*(CL$16+CL$17)</f>
        <v>-9409.9570946062504</v>
      </c>
      <c r="CM25" s="119">
        <f>-INDEX(Assumptions!$C$47:$M$47,MATCH('DCF Model'!CM5,Assumptions!$C$38:$M$38))*(CM$16+CM$17)</f>
        <v>-9692.2558074444369</v>
      </c>
      <c r="CN25" s="119">
        <f>-INDEX(Assumptions!$C$47:$M$47,MATCH('DCF Model'!CN5,Assumptions!$C$38:$M$38))*(CN$16+CN$17)</f>
        <v>-9692.2558074444369</v>
      </c>
      <c r="CO25" s="119">
        <f>-INDEX(Assumptions!$C$47:$M$47,MATCH('DCF Model'!CO5,Assumptions!$C$38:$M$38))*(CO$16+CO$17)</f>
        <v>-9692.2558074444369</v>
      </c>
      <c r="CP25" s="119">
        <f>-INDEX(Assumptions!$C$47:$M$47,MATCH('DCF Model'!CP5,Assumptions!$C$38:$M$38))*(CP$16+CP$17)</f>
        <v>-9692.2558074444369</v>
      </c>
      <c r="CQ25" s="119">
        <f>-INDEX(Assumptions!$C$47:$M$47,MATCH('DCF Model'!CQ5,Assumptions!$C$38:$M$38))*(CQ$16+CQ$17)</f>
        <v>-9692.2558074444369</v>
      </c>
      <c r="CR25" s="119">
        <f>-INDEX(Assumptions!$C$47:$M$47,MATCH('DCF Model'!CR5,Assumptions!$C$38:$M$38))*(CR$16+CR$17)</f>
        <v>-9692.2558074444369</v>
      </c>
      <c r="CS25" s="119">
        <f>-INDEX(Assumptions!$C$47:$M$47,MATCH('DCF Model'!CS5,Assumptions!$C$38:$M$38))*(CS$16+CS$17)</f>
        <v>-9692.2558074444369</v>
      </c>
      <c r="CT25" s="119">
        <f>-INDEX(Assumptions!$C$47:$M$47,MATCH('DCF Model'!CT5,Assumptions!$C$38:$M$38))*(CT$16+CT$17)</f>
        <v>-9692.2558074444369</v>
      </c>
      <c r="CU25" s="119">
        <f>-INDEX(Assumptions!$C$47:$M$47,MATCH('DCF Model'!CU5,Assumptions!$C$38:$M$38))*(CU$16+CU$17)</f>
        <v>-9692.2558074444369</v>
      </c>
      <c r="CV25" s="119">
        <f>-INDEX(Assumptions!$C$47:$M$47,MATCH('DCF Model'!CV5,Assumptions!$C$38:$M$38))*(CV$16+CV$17)</f>
        <v>-9692.2558074444369</v>
      </c>
      <c r="CW25" s="119">
        <f>-INDEX(Assumptions!$C$47:$M$47,MATCH('DCF Model'!CW5,Assumptions!$C$38:$M$38))*(CW$16+CW$17)</f>
        <v>-9692.2558074444369</v>
      </c>
      <c r="CX25" s="119">
        <f>-INDEX(Assumptions!$C$47:$M$47,MATCH('DCF Model'!CX5,Assumptions!$C$38:$M$38))*(CX$16+CX$17)</f>
        <v>-9692.2558074444369</v>
      </c>
    </row>
    <row r="26" spans="2:103" s="35" customFormat="1" ht="12.6" customHeight="1" x14ac:dyDescent="0.2">
      <c r="B26" s="41" t="s">
        <v>138</v>
      </c>
      <c r="C26" s="45"/>
      <c r="D26" s="43">
        <f>SUM(D21:D25)</f>
        <v>3098890</v>
      </c>
      <c r="E26" s="46"/>
      <c r="F26" s="45"/>
      <c r="G26" s="44">
        <f t="shared" ref="G26:AL26" si="22">SUM(G21:G25)</f>
        <v>269985.41666666669</v>
      </c>
      <c r="H26" s="44">
        <f t="shared" si="22"/>
        <v>269985.41666666669</v>
      </c>
      <c r="I26" s="44">
        <f t="shared" si="22"/>
        <v>269985.41666666669</v>
      </c>
      <c r="J26" s="44">
        <f t="shared" si="22"/>
        <v>269985.41666666669</v>
      </c>
      <c r="K26" s="44">
        <f t="shared" si="22"/>
        <v>269985.41666666669</v>
      </c>
      <c r="L26" s="44">
        <f t="shared" si="22"/>
        <v>269985.41666666669</v>
      </c>
      <c r="M26" s="44">
        <f t="shared" si="22"/>
        <v>269985.41666666669</v>
      </c>
      <c r="N26" s="44">
        <f t="shared" si="22"/>
        <v>269985.41666666669</v>
      </c>
      <c r="O26" s="44">
        <f t="shared" si="22"/>
        <v>269985.41666666669</v>
      </c>
      <c r="P26" s="44">
        <f t="shared" si="22"/>
        <v>269985.41666666669</v>
      </c>
      <c r="Q26" s="44">
        <f t="shared" si="22"/>
        <v>269985.41666666669</v>
      </c>
      <c r="R26" s="44">
        <f t="shared" si="22"/>
        <v>269985.41666666669</v>
      </c>
      <c r="S26" s="44">
        <f t="shared" si="22"/>
        <v>322051.38541666669</v>
      </c>
      <c r="T26" s="44">
        <f t="shared" si="22"/>
        <v>322051.38541666669</v>
      </c>
      <c r="U26" s="44">
        <f t="shared" si="22"/>
        <v>322051.38541666669</v>
      </c>
      <c r="V26" s="44">
        <f t="shared" si="22"/>
        <v>322051.38541666669</v>
      </c>
      <c r="W26" s="44">
        <f t="shared" si="22"/>
        <v>322051.38541666669</v>
      </c>
      <c r="X26" s="44">
        <f t="shared" si="22"/>
        <v>322051.38541666669</v>
      </c>
      <c r="Y26" s="44">
        <f t="shared" si="22"/>
        <v>322051.38541666669</v>
      </c>
      <c r="Z26" s="44">
        <f t="shared" si="22"/>
        <v>322051.38541666669</v>
      </c>
      <c r="AA26" s="44">
        <f t="shared" si="22"/>
        <v>322051.38541666669</v>
      </c>
      <c r="AB26" s="44">
        <f t="shared" si="22"/>
        <v>322051.38541666669</v>
      </c>
      <c r="AC26" s="44">
        <f t="shared" si="22"/>
        <v>322051.38541666669</v>
      </c>
      <c r="AD26" s="44">
        <f t="shared" si="22"/>
        <v>322051.38541666669</v>
      </c>
      <c r="AE26" s="44">
        <f t="shared" si="22"/>
        <v>382033.35666666669</v>
      </c>
      <c r="AF26" s="44">
        <f t="shared" si="22"/>
        <v>382033.35666666669</v>
      </c>
      <c r="AG26" s="44">
        <f t="shared" si="22"/>
        <v>382033.35666666669</v>
      </c>
      <c r="AH26" s="44">
        <f t="shared" si="22"/>
        <v>382033.35666666669</v>
      </c>
      <c r="AI26" s="44">
        <f t="shared" si="22"/>
        <v>382033.35666666669</v>
      </c>
      <c r="AJ26" s="44">
        <f t="shared" si="22"/>
        <v>382033.35666666669</v>
      </c>
      <c r="AK26" s="44">
        <f t="shared" si="22"/>
        <v>382033.35666666669</v>
      </c>
      <c r="AL26" s="44">
        <f t="shared" si="22"/>
        <v>382033.35666666669</v>
      </c>
      <c r="AM26" s="44">
        <f t="shared" ref="AM26:BR26" si="23">SUM(AM21:AM25)</f>
        <v>382033.35666666669</v>
      </c>
      <c r="AN26" s="44">
        <f t="shared" si="23"/>
        <v>382033.35666666669</v>
      </c>
      <c r="AO26" s="44">
        <f t="shared" si="23"/>
        <v>382033.35666666669</v>
      </c>
      <c r="AP26" s="44">
        <f t="shared" si="23"/>
        <v>382033.35666666669</v>
      </c>
      <c r="AQ26" s="44">
        <f t="shared" si="23"/>
        <v>399952.94017916673</v>
      </c>
      <c r="AR26" s="44">
        <f t="shared" si="23"/>
        <v>399952.94017916673</v>
      </c>
      <c r="AS26" s="44">
        <f t="shared" si="23"/>
        <v>399952.94017916673</v>
      </c>
      <c r="AT26" s="44">
        <f t="shared" si="23"/>
        <v>399952.94017916673</v>
      </c>
      <c r="AU26" s="44">
        <f t="shared" si="23"/>
        <v>399952.94017916673</v>
      </c>
      <c r="AV26" s="44">
        <f t="shared" si="23"/>
        <v>399952.94017916673</v>
      </c>
      <c r="AW26" s="44">
        <f t="shared" si="23"/>
        <v>399952.94017916673</v>
      </c>
      <c r="AX26" s="44">
        <f t="shared" si="23"/>
        <v>399952.94017916673</v>
      </c>
      <c r="AY26" s="44">
        <f t="shared" si="23"/>
        <v>399952.94017916673</v>
      </c>
      <c r="AZ26" s="44">
        <f t="shared" si="23"/>
        <v>399952.94017916673</v>
      </c>
      <c r="BA26" s="44">
        <f t="shared" si="23"/>
        <v>399952.94017916673</v>
      </c>
      <c r="BB26" s="44">
        <f t="shared" si="23"/>
        <v>399952.94017916673</v>
      </c>
      <c r="BC26" s="44">
        <f t="shared" si="23"/>
        <v>411951.52838454163</v>
      </c>
      <c r="BD26" s="44">
        <f t="shared" si="23"/>
        <v>411951.52838454163</v>
      </c>
      <c r="BE26" s="44">
        <f t="shared" si="23"/>
        <v>411951.52838454163</v>
      </c>
      <c r="BF26" s="44">
        <f t="shared" si="23"/>
        <v>411951.52838454163</v>
      </c>
      <c r="BG26" s="44">
        <f t="shared" si="23"/>
        <v>411951.52838454163</v>
      </c>
      <c r="BH26" s="44">
        <f t="shared" si="23"/>
        <v>411951.52838454163</v>
      </c>
      <c r="BI26" s="44">
        <f t="shared" si="23"/>
        <v>411951.52838454163</v>
      </c>
      <c r="BJ26" s="44">
        <f t="shared" si="23"/>
        <v>411951.52838454163</v>
      </c>
      <c r="BK26" s="44">
        <f t="shared" si="23"/>
        <v>411951.52838454163</v>
      </c>
      <c r="BL26" s="44">
        <f t="shared" si="23"/>
        <v>411951.52838454163</v>
      </c>
      <c r="BM26" s="44">
        <f t="shared" si="23"/>
        <v>411951.52838454163</v>
      </c>
      <c r="BN26" s="44">
        <f t="shared" si="23"/>
        <v>411951.52838454163</v>
      </c>
      <c r="BO26" s="44">
        <f t="shared" si="23"/>
        <v>424310.07423607801</v>
      </c>
      <c r="BP26" s="44">
        <f t="shared" si="23"/>
        <v>424310.07423607801</v>
      </c>
      <c r="BQ26" s="44">
        <f t="shared" si="23"/>
        <v>424310.07423607801</v>
      </c>
      <c r="BR26" s="44">
        <f t="shared" si="23"/>
        <v>424310.07423607801</v>
      </c>
      <c r="BS26" s="44">
        <f t="shared" ref="BS26:CX26" si="24">SUM(BS21:BS25)</f>
        <v>424310.07423607801</v>
      </c>
      <c r="BT26" s="44">
        <f t="shared" si="24"/>
        <v>424310.07423607801</v>
      </c>
      <c r="BU26" s="44">
        <f t="shared" si="24"/>
        <v>424310.07423607801</v>
      </c>
      <c r="BV26" s="44">
        <f t="shared" si="24"/>
        <v>424310.07423607801</v>
      </c>
      <c r="BW26" s="44">
        <f t="shared" si="24"/>
        <v>424310.07423607801</v>
      </c>
      <c r="BX26" s="44">
        <f t="shared" si="24"/>
        <v>424310.07423607801</v>
      </c>
      <c r="BY26" s="44">
        <f t="shared" si="24"/>
        <v>424310.07423607801</v>
      </c>
      <c r="BZ26" s="44">
        <f t="shared" si="24"/>
        <v>424310.07423607801</v>
      </c>
      <c r="CA26" s="44">
        <f t="shared" si="24"/>
        <v>437039.37646316033</v>
      </c>
      <c r="CB26" s="44">
        <f t="shared" si="24"/>
        <v>437039.37646316033</v>
      </c>
      <c r="CC26" s="44">
        <f t="shared" si="24"/>
        <v>437039.37646316033</v>
      </c>
      <c r="CD26" s="44">
        <f t="shared" si="24"/>
        <v>437039.37646316033</v>
      </c>
      <c r="CE26" s="44">
        <f t="shared" si="24"/>
        <v>437039.37646316033</v>
      </c>
      <c r="CF26" s="44">
        <f t="shared" si="24"/>
        <v>437039.37646316033</v>
      </c>
      <c r="CG26" s="44">
        <f t="shared" si="24"/>
        <v>437039.37646316033</v>
      </c>
      <c r="CH26" s="44">
        <f t="shared" si="24"/>
        <v>437039.37646316033</v>
      </c>
      <c r="CI26" s="44">
        <f t="shared" si="24"/>
        <v>437039.37646316033</v>
      </c>
      <c r="CJ26" s="44">
        <f t="shared" si="24"/>
        <v>437039.37646316033</v>
      </c>
      <c r="CK26" s="44">
        <f t="shared" si="24"/>
        <v>437039.37646316033</v>
      </c>
      <c r="CL26" s="44">
        <f t="shared" si="24"/>
        <v>437039.37646316033</v>
      </c>
      <c r="CM26" s="168">
        <f t="shared" si="24"/>
        <v>450150.55775705498</v>
      </c>
      <c r="CN26" s="168">
        <f t="shared" si="24"/>
        <v>450150.55775705498</v>
      </c>
      <c r="CO26" s="168">
        <f t="shared" si="24"/>
        <v>450150.55775705498</v>
      </c>
      <c r="CP26" s="168">
        <f t="shared" si="24"/>
        <v>450150.55775705498</v>
      </c>
      <c r="CQ26" s="168">
        <f t="shared" si="24"/>
        <v>450150.55775705498</v>
      </c>
      <c r="CR26" s="168">
        <f t="shared" si="24"/>
        <v>450150.55775705498</v>
      </c>
      <c r="CS26" s="168">
        <f t="shared" si="24"/>
        <v>450150.55775705498</v>
      </c>
      <c r="CT26" s="168">
        <f t="shared" si="24"/>
        <v>450150.55775705498</v>
      </c>
      <c r="CU26" s="168">
        <f t="shared" si="24"/>
        <v>450150.55775705498</v>
      </c>
      <c r="CV26" s="168">
        <f t="shared" si="24"/>
        <v>450150.55775705498</v>
      </c>
      <c r="CW26" s="168">
        <f t="shared" si="24"/>
        <v>450150.55775705498</v>
      </c>
      <c r="CX26" s="168">
        <f t="shared" si="24"/>
        <v>450150.55775705498</v>
      </c>
    </row>
    <row r="27" spans="2:103" s="35" customFormat="1" ht="12.6" customHeight="1" x14ac:dyDescent="0.2">
      <c r="B27" s="33"/>
      <c r="D27" s="47"/>
      <c r="E27" s="36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169"/>
      <c r="CN27" s="169"/>
      <c r="CO27" s="169"/>
      <c r="CP27" s="169"/>
      <c r="CQ27" s="169"/>
      <c r="CR27" s="169"/>
      <c r="CS27" s="169"/>
      <c r="CT27" s="169"/>
      <c r="CU27" s="169"/>
      <c r="CV27" s="169"/>
      <c r="CW27" s="169"/>
      <c r="CX27" s="169"/>
    </row>
    <row r="28" spans="2:103" s="35" customFormat="1" ht="12.6" customHeight="1" x14ac:dyDescent="0.2">
      <c r="B28" s="79" t="s">
        <v>96</v>
      </c>
      <c r="C28" s="80"/>
      <c r="D28" s="81">
        <f>SUM(D16:D23)/D5/12</f>
        <v>2230.0347222222222</v>
      </c>
      <c r="E28" s="82"/>
      <c r="F28" s="80"/>
      <c r="G28" s="81">
        <f t="shared" ref="G28:AL28" si="25">SUM(G16:G23)/$D$5</f>
        <v>2358.7569444444448</v>
      </c>
      <c r="H28" s="81">
        <f t="shared" si="25"/>
        <v>2358.7569444444448</v>
      </c>
      <c r="I28" s="81">
        <f t="shared" si="25"/>
        <v>2358.7569444444448</v>
      </c>
      <c r="J28" s="81">
        <f t="shared" si="25"/>
        <v>2358.7569444444448</v>
      </c>
      <c r="K28" s="81">
        <f t="shared" si="25"/>
        <v>2358.7569444444448</v>
      </c>
      <c r="L28" s="81">
        <f t="shared" si="25"/>
        <v>2358.7569444444448</v>
      </c>
      <c r="M28" s="81">
        <f t="shared" si="25"/>
        <v>2358.7569444444448</v>
      </c>
      <c r="N28" s="81">
        <f t="shared" si="25"/>
        <v>2358.7569444444448</v>
      </c>
      <c r="O28" s="81">
        <f t="shared" si="25"/>
        <v>2358.7569444444448</v>
      </c>
      <c r="P28" s="81">
        <f t="shared" si="25"/>
        <v>2358.7569444444448</v>
      </c>
      <c r="Q28" s="81">
        <f t="shared" si="25"/>
        <v>2358.7569444444448</v>
      </c>
      <c r="R28" s="81">
        <f t="shared" si="25"/>
        <v>2358.7569444444448</v>
      </c>
      <c r="S28" s="81">
        <f t="shared" si="25"/>
        <v>2534.196736111111</v>
      </c>
      <c r="T28" s="81">
        <f t="shared" si="25"/>
        <v>2534.196736111111</v>
      </c>
      <c r="U28" s="81">
        <f t="shared" si="25"/>
        <v>2534.196736111111</v>
      </c>
      <c r="V28" s="81">
        <f t="shared" si="25"/>
        <v>2534.196736111111</v>
      </c>
      <c r="W28" s="81">
        <f t="shared" si="25"/>
        <v>2534.196736111111</v>
      </c>
      <c r="X28" s="81">
        <f t="shared" si="25"/>
        <v>2534.196736111111</v>
      </c>
      <c r="Y28" s="81">
        <f t="shared" si="25"/>
        <v>2534.196736111111</v>
      </c>
      <c r="Z28" s="81">
        <f t="shared" si="25"/>
        <v>2534.196736111111</v>
      </c>
      <c r="AA28" s="81">
        <f t="shared" si="25"/>
        <v>2534.196736111111</v>
      </c>
      <c r="AB28" s="81">
        <f t="shared" si="25"/>
        <v>2534.196736111111</v>
      </c>
      <c r="AC28" s="81">
        <f t="shared" si="25"/>
        <v>2534.196736111111</v>
      </c>
      <c r="AD28" s="81">
        <f t="shared" si="25"/>
        <v>2534.196736111111</v>
      </c>
      <c r="AE28" s="81">
        <f t="shared" si="25"/>
        <v>2771.2609194444444</v>
      </c>
      <c r="AF28" s="81">
        <f t="shared" si="25"/>
        <v>2771.2609194444444</v>
      </c>
      <c r="AG28" s="81">
        <f t="shared" si="25"/>
        <v>2771.2609194444444</v>
      </c>
      <c r="AH28" s="81">
        <f t="shared" si="25"/>
        <v>2771.2609194444444</v>
      </c>
      <c r="AI28" s="81">
        <f t="shared" si="25"/>
        <v>2771.2609194444444</v>
      </c>
      <c r="AJ28" s="81">
        <f t="shared" si="25"/>
        <v>2771.2609194444444</v>
      </c>
      <c r="AK28" s="81">
        <f t="shared" si="25"/>
        <v>2771.2609194444444</v>
      </c>
      <c r="AL28" s="81">
        <f t="shared" si="25"/>
        <v>2771.2609194444444</v>
      </c>
      <c r="AM28" s="81">
        <f t="shared" ref="AM28:BR28" si="26">SUM(AM16:AM23)/$D$5</f>
        <v>2771.2609194444444</v>
      </c>
      <c r="AN28" s="81">
        <f t="shared" si="26"/>
        <v>2771.2609194444444</v>
      </c>
      <c r="AO28" s="81">
        <f t="shared" si="26"/>
        <v>2771.2609194444444</v>
      </c>
      <c r="AP28" s="81">
        <f t="shared" si="26"/>
        <v>2771.2609194444444</v>
      </c>
      <c r="AQ28" s="81">
        <f t="shared" si="26"/>
        <v>2854.398747027778</v>
      </c>
      <c r="AR28" s="81">
        <f t="shared" si="26"/>
        <v>2854.398747027778</v>
      </c>
      <c r="AS28" s="81">
        <f t="shared" si="26"/>
        <v>2854.398747027778</v>
      </c>
      <c r="AT28" s="81">
        <f t="shared" si="26"/>
        <v>2854.398747027778</v>
      </c>
      <c r="AU28" s="81">
        <f t="shared" si="26"/>
        <v>2854.398747027778</v>
      </c>
      <c r="AV28" s="81">
        <f t="shared" si="26"/>
        <v>2854.398747027778</v>
      </c>
      <c r="AW28" s="81">
        <f t="shared" si="26"/>
        <v>2854.398747027778</v>
      </c>
      <c r="AX28" s="81">
        <f t="shared" si="26"/>
        <v>2854.398747027778</v>
      </c>
      <c r="AY28" s="81">
        <f t="shared" si="26"/>
        <v>2854.398747027778</v>
      </c>
      <c r="AZ28" s="81">
        <f t="shared" si="26"/>
        <v>2854.398747027778</v>
      </c>
      <c r="BA28" s="81">
        <f t="shared" si="26"/>
        <v>2854.398747027778</v>
      </c>
      <c r="BB28" s="81">
        <f t="shared" si="26"/>
        <v>2854.398747027778</v>
      </c>
      <c r="BC28" s="81">
        <f t="shared" si="26"/>
        <v>2940.0307094386112</v>
      </c>
      <c r="BD28" s="81">
        <f t="shared" si="26"/>
        <v>2940.0307094386112</v>
      </c>
      <c r="BE28" s="81">
        <f t="shared" si="26"/>
        <v>2940.0307094386112</v>
      </c>
      <c r="BF28" s="81">
        <f t="shared" si="26"/>
        <v>2940.0307094386112</v>
      </c>
      <c r="BG28" s="81">
        <f t="shared" si="26"/>
        <v>2940.0307094386112</v>
      </c>
      <c r="BH28" s="81">
        <f t="shared" si="26"/>
        <v>2940.0307094386112</v>
      </c>
      <c r="BI28" s="81">
        <f t="shared" si="26"/>
        <v>2940.0307094386112</v>
      </c>
      <c r="BJ28" s="81">
        <f t="shared" si="26"/>
        <v>2940.0307094386112</v>
      </c>
      <c r="BK28" s="81">
        <f t="shared" si="26"/>
        <v>2940.0307094386112</v>
      </c>
      <c r="BL28" s="81">
        <f t="shared" si="26"/>
        <v>2940.0307094386112</v>
      </c>
      <c r="BM28" s="81">
        <f t="shared" si="26"/>
        <v>2940.0307094386112</v>
      </c>
      <c r="BN28" s="81">
        <f t="shared" si="26"/>
        <v>2940.0307094386112</v>
      </c>
      <c r="BO28" s="81">
        <f t="shared" si="26"/>
        <v>3028.2316307217702</v>
      </c>
      <c r="BP28" s="81">
        <f t="shared" si="26"/>
        <v>3028.2316307217702</v>
      </c>
      <c r="BQ28" s="81">
        <f t="shared" si="26"/>
        <v>3028.2316307217702</v>
      </c>
      <c r="BR28" s="81">
        <f t="shared" si="26"/>
        <v>3028.2316307217702</v>
      </c>
      <c r="BS28" s="81">
        <f t="shared" ref="BS28:CX28" si="27">SUM(BS16:BS23)/$D$5</f>
        <v>3028.2316307217702</v>
      </c>
      <c r="BT28" s="81">
        <f t="shared" si="27"/>
        <v>3028.2316307217702</v>
      </c>
      <c r="BU28" s="81">
        <f t="shared" si="27"/>
        <v>3028.2316307217702</v>
      </c>
      <c r="BV28" s="81">
        <f t="shared" si="27"/>
        <v>3028.2316307217702</v>
      </c>
      <c r="BW28" s="81">
        <f t="shared" si="27"/>
        <v>3028.2316307217702</v>
      </c>
      <c r="BX28" s="81">
        <f t="shared" si="27"/>
        <v>3028.2316307217702</v>
      </c>
      <c r="BY28" s="81">
        <f t="shared" si="27"/>
        <v>3028.2316307217702</v>
      </c>
      <c r="BZ28" s="81">
        <f t="shared" si="27"/>
        <v>3028.2316307217702</v>
      </c>
      <c r="CA28" s="81">
        <f t="shared" si="27"/>
        <v>3119.0785796434225</v>
      </c>
      <c r="CB28" s="81">
        <f t="shared" si="27"/>
        <v>3119.0785796434225</v>
      </c>
      <c r="CC28" s="81">
        <f t="shared" si="27"/>
        <v>3119.0785796434225</v>
      </c>
      <c r="CD28" s="81">
        <f t="shared" si="27"/>
        <v>3119.0785796434225</v>
      </c>
      <c r="CE28" s="81">
        <f t="shared" si="27"/>
        <v>3119.0785796434225</v>
      </c>
      <c r="CF28" s="81">
        <f t="shared" si="27"/>
        <v>3119.0785796434225</v>
      </c>
      <c r="CG28" s="81">
        <f t="shared" si="27"/>
        <v>3119.0785796434225</v>
      </c>
      <c r="CH28" s="81">
        <f t="shared" si="27"/>
        <v>3119.0785796434225</v>
      </c>
      <c r="CI28" s="81">
        <f t="shared" si="27"/>
        <v>3119.0785796434225</v>
      </c>
      <c r="CJ28" s="81">
        <f t="shared" si="27"/>
        <v>3119.0785796434225</v>
      </c>
      <c r="CK28" s="81">
        <f t="shared" si="27"/>
        <v>3119.0785796434225</v>
      </c>
      <c r="CL28" s="81">
        <f t="shared" si="27"/>
        <v>3119.0785796434225</v>
      </c>
      <c r="CM28" s="81">
        <f t="shared" si="27"/>
        <v>3212.6509370327249</v>
      </c>
      <c r="CN28" s="81">
        <f t="shared" si="27"/>
        <v>3212.6509370327249</v>
      </c>
      <c r="CO28" s="81">
        <f t="shared" si="27"/>
        <v>3212.6509370327249</v>
      </c>
      <c r="CP28" s="81">
        <f t="shared" si="27"/>
        <v>3212.6509370327249</v>
      </c>
      <c r="CQ28" s="81">
        <f t="shared" si="27"/>
        <v>3212.6509370327249</v>
      </c>
      <c r="CR28" s="81">
        <f t="shared" si="27"/>
        <v>3212.6509370327249</v>
      </c>
      <c r="CS28" s="81">
        <f t="shared" si="27"/>
        <v>3212.6509370327249</v>
      </c>
      <c r="CT28" s="81">
        <f t="shared" si="27"/>
        <v>3212.6509370327249</v>
      </c>
      <c r="CU28" s="81">
        <f t="shared" si="27"/>
        <v>3212.6509370327249</v>
      </c>
      <c r="CV28" s="81">
        <f t="shared" si="27"/>
        <v>3212.6509370327249</v>
      </c>
      <c r="CW28" s="81">
        <f t="shared" si="27"/>
        <v>3212.6509370327249</v>
      </c>
      <c r="CX28" s="81">
        <f t="shared" si="27"/>
        <v>3212.6509370327249</v>
      </c>
    </row>
    <row r="29" spans="2:103" s="35" customFormat="1" ht="12.6" customHeight="1" x14ac:dyDescent="0.2">
      <c r="B29" s="79" t="s">
        <v>97</v>
      </c>
      <c r="C29" s="80"/>
      <c r="D29" s="83">
        <f>SUM(D17:D23)/D6/12</f>
        <v>85.069444444444443</v>
      </c>
      <c r="E29" s="82"/>
      <c r="F29" s="80"/>
      <c r="G29" s="83">
        <f t="shared" ref="G29:AL29" si="28">SUM(G17:G23)/$D$6</f>
        <v>88.700555555555567</v>
      </c>
      <c r="H29" s="83">
        <f t="shared" si="28"/>
        <v>88.700555555555567</v>
      </c>
      <c r="I29" s="83">
        <f t="shared" si="28"/>
        <v>88.700555555555567</v>
      </c>
      <c r="J29" s="83">
        <f t="shared" si="28"/>
        <v>88.700555555555567</v>
      </c>
      <c r="K29" s="83">
        <f t="shared" si="28"/>
        <v>88.700555555555567</v>
      </c>
      <c r="L29" s="83">
        <f t="shared" si="28"/>
        <v>88.700555555555567</v>
      </c>
      <c r="M29" s="83">
        <f t="shared" si="28"/>
        <v>88.700555555555567</v>
      </c>
      <c r="N29" s="83">
        <f t="shared" si="28"/>
        <v>88.700555555555567</v>
      </c>
      <c r="O29" s="83">
        <f t="shared" si="28"/>
        <v>88.700555555555567</v>
      </c>
      <c r="P29" s="83">
        <f t="shared" si="28"/>
        <v>88.700555555555567</v>
      </c>
      <c r="Q29" s="83">
        <f t="shared" si="28"/>
        <v>88.700555555555567</v>
      </c>
      <c r="R29" s="83">
        <f t="shared" si="28"/>
        <v>88.700555555555567</v>
      </c>
      <c r="S29" s="83">
        <f t="shared" si="28"/>
        <v>97.735738888888903</v>
      </c>
      <c r="T29" s="83">
        <f t="shared" si="28"/>
        <v>97.735738888888903</v>
      </c>
      <c r="U29" s="83">
        <f t="shared" si="28"/>
        <v>97.735738888888903</v>
      </c>
      <c r="V29" s="83">
        <f t="shared" si="28"/>
        <v>97.735738888888903</v>
      </c>
      <c r="W29" s="83">
        <f t="shared" si="28"/>
        <v>97.735738888888903</v>
      </c>
      <c r="X29" s="83">
        <f t="shared" si="28"/>
        <v>97.735738888888903</v>
      </c>
      <c r="Y29" s="83">
        <f t="shared" si="28"/>
        <v>97.735738888888903</v>
      </c>
      <c r="Z29" s="83">
        <f t="shared" si="28"/>
        <v>97.735738888888903</v>
      </c>
      <c r="AA29" s="83">
        <f t="shared" si="28"/>
        <v>97.735738888888903</v>
      </c>
      <c r="AB29" s="83">
        <f t="shared" si="28"/>
        <v>97.735738888888903</v>
      </c>
      <c r="AC29" s="83">
        <f t="shared" si="28"/>
        <v>97.735738888888903</v>
      </c>
      <c r="AD29" s="83">
        <f t="shared" si="28"/>
        <v>97.735738888888903</v>
      </c>
      <c r="AE29" s="83">
        <f t="shared" si="28"/>
        <v>112.50087355555557</v>
      </c>
      <c r="AF29" s="83">
        <f t="shared" si="28"/>
        <v>112.50087355555557</v>
      </c>
      <c r="AG29" s="83">
        <f t="shared" si="28"/>
        <v>112.50087355555557</v>
      </c>
      <c r="AH29" s="83">
        <f t="shared" si="28"/>
        <v>112.50087355555557</v>
      </c>
      <c r="AI29" s="83">
        <f t="shared" si="28"/>
        <v>112.50087355555557</v>
      </c>
      <c r="AJ29" s="83">
        <f t="shared" si="28"/>
        <v>112.50087355555557</v>
      </c>
      <c r="AK29" s="83">
        <f t="shared" si="28"/>
        <v>112.50087355555557</v>
      </c>
      <c r="AL29" s="83">
        <f t="shared" si="28"/>
        <v>112.50087355555557</v>
      </c>
      <c r="AM29" s="83">
        <f t="shared" ref="AM29:BR29" si="29">SUM(AM17:AM23)/$D$6</f>
        <v>112.50087355555557</v>
      </c>
      <c r="AN29" s="83">
        <f t="shared" si="29"/>
        <v>112.50087355555557</v>
      </c>
      <c r="AO29" s="83">
        <f t="shared" si="29"/>
        <v>112.50087355555557</v>
      </c>
      <c r="AP29" s="83">
        <f t="shared" si="29"/>
        <v>112.50087355555557</v>
      </c>
      <c r="AQ29" s="83">
        <f t="shared" si="29"/>
        <v>115.87589976222223</v>
      </c>
      <c r="AR29" s="83">
        <f t="shared" si="29"/>
        <v>115.87589976222223</v>
      </c>
      <c r="AS29" s="83">
        <f t="shared" si="29"/>
        <v>115.87589976222223</v>
      </c>
      <c r="AT29" s="83">
        <f t="shared" si="29"/>
        <v>115.87589976222223</v>
      </c>
      <c r="AU29" s="83">
        <f t="shared" si="29"/>
        <v>115.87589976222223</v>
      </c>
      <c r="AV29" s="83">
        <f t="shared" si="29"/>
        <v>115.87589976222223</v>
      </c>
      <c r="AW29" s="83">
        <f t="shared" si="29"/>
        <v>115.87589976222223</v>
      </c>
      <c r="AX29" s="83">
        <f t="shared" si="29"/>
        <v>115.87589976222223</v>
      </c>
      <c r="AY29" s="83">
        <f t="shared" si="29"/>
        <v>115.87589976222223</v>
      </c>
      <c r="AZ29" s="83">
        <f t="shared" si="29"/>
        <v>115.87589976222223</v>
      </c>
      <c r="BA29" s="83">
        <f t="shared" si="29"/>
        <v>115.87589976222223</v>
      </c>
      <c r="BB29" s="83">
        <f t="shared" si="29"/>
        <v>115.87589976222223</v>
      </c>
      <c r="BC29" s="83">
        <f t="shared" si="29"/>
        <v>119.35217675508889</v>
      </c>
      <c r="BD29" s="83">
        <f t="shared" si="29"/>
        <v>119.35217675508889</v>
      </c>
      <c r="BE29" s="83">
        <f t="shared" si="29"/>
        <v>119.35217675508889</v>
      </c>
      <c r="BF29" s="83">
        <f t="shared" si="29"/>
        <v>119.35217675508889</v>
      </c>
      <c r="BG29" s="83">
        <f t="shared" si="29"/>
        <v>119.35217675508889</v>
      </c>
      <c r="BH29" s="83">
        <f t="shared" si="29"/>
        <v>119.35217675508889</v>
      </c>
      <c r="BI29" s="83">
        <f t="shared" si="29"/>
        <v>119.35217675508889</v>
      </c>
      <c r="BJ29" s="83">
        <f t="shared" si="29"/>
        <v>119.35217675508889</v>
      </c>
      <c r="BK29" s="83">
        <f t="shared" si="29"/>
        <v>119.35217675508889</v>
      </c>
      <c r="BL29" s="83">
        <f t="shared" si="29"/>
        <v>119.35217675508889</v>
      </c>
      <c r="BM29" s="83">
        <f t="shared" si="29"/>
        <v>119.35217675508889</v>
      </c>
      <c r="BN29" s="83">
        <f t="shared" si="29"/>
        <v>119.35217675508889</v>
      </c>
      <c r="BO29" s="83">
        <f t="shared" si="29"/>
        <v>122.93274205774158</v>
      </c>
      <c r="BP29" s="83">
        <f t="shared" si="29"/>
        <v>122.93274205774158</v>
      </c>
      <c r="BQ29" s="83">
        <f t="shared" si="29"/>
        <v>122.93274205774158</v>
      </c>
      <c r="BR29" s="83">
        <f t="shared" si="29"/>
        <v>122.93274205774158</v>
      </c>
      <c r="BS29" s="83">
        <f t="shared" ref="BS29:CX29" si="30">SUM(BS17:BS23)/$D$6</f>
        <v>122.93274205774158</v>
      </c>
      <c r="BT29" s="83">
        <f t="shared" si="30"/>
        <v>122.93274205774158</v>
      </c>
      <c r="BU29" s="83">
        <f t="shared" si="30"/>
        <v>122.93274205774158</v>
      </c>
      <c r="BV29" s="83">
        <f t="shared" si="30"/>
        <v>122.93274205774158</v>
      </c>
      <c r="BW29" s="83">
        <f t="shared" si="30"/>
        <v>122.93274205774158</v>
      </c>
      <c r="BX29" s="83">
        <f t="shared" si="30"/>
        <v>122.93274205774158</v>
      </c>
      <c r="BY29" s="83">
        <f t="shared" si="30"/>
        <v>122.93274205774158</v>
      </c>
      <c r="BZ29" s="83">
        <f t="shared" si="30"/>
        <v>122.93274205774158</v>
      </c>
      <c r="CA29" s="83">
        <f t="shared" si="30"/>
        <v>126.62072431947382</v>
      </c>
      <c r="CB29" s="83">
        <f t="shared" si="30"/>
        <v>126.62072431947382</v>
      </c>
      <c r="CC29" s="83">
        <f t="shared" si="30"/>
        <v>126.62072431947382</v>
      </c>
      <c r="CD29" s="83">
        <f t="shared" si="30"/>
        <v>126.62072431947382</v>
      </c>
      <c r="CE29" s="83">
        <f t="shared" si="30"/>
        <v>126.62072431947382</v>
      </c>
      <c r="CF29" s="83">
        <f t="shared" si="30"/>
        <v>126.62072431947382</v>
      </c>
      <c r="CG29" s="83">
        <f t="shared" si="30"/>
        <v>126.62072431947382</v>
      </c>
      <c r="CH29" s="83">
        <f t="shared" si="30"/>
        <v>126.62072431947382</v>
      </c>
      <c r="CI29" s="83">
        <f t="shared" si="30"/>
        <v>126.62072431947382</v>
      </c>
      <c r="CJ29" s="83">
        <f t="shared" si="30"/>
        <v>126.62072431947382</v>
      </c>
      <c r="CK29" s="83">
        <f t="shared" si="30"/>
        <v>126.62072431947382</v>
      </c>
      <c r="CL29" s="83">
        <f t="shared" si="30"/>
        <v>126.62072431947382</v>
      </c>
      <c r="CM29" s="83">
        <f t="shared" si="30"/>
        <v>130.41934604905799</v>
      </c>
      <c r="CN29" s="83">
        <f t="shared" si="30"/>
        <v>130.41934604905799</v>
      </c>
      <c r="CO29" s="83">
        <f t="shared" si="30"/>
        <v>130.41934604905799</v>
      </c>
      <c r="CP29" s="83">
        <f t="shared" si="30"/>
        <v>130.41934604905799</v>
      </c>
      <c r="CQ29" s="83">
        <f t="shared" si="30"/>
        <v>130.41934604905799</v>
      </c>
      <c r="CR29" s="83">
        <f t="shared" si="30"/>
        <v>130.41934604905799</v>
      </c>
      <c r="CS29" s="83">
        <f t="shared" si="30"/>
        <v>130.41934604905799</v>
      </c>
      <c r="CT29" s="83">
        <f t="shared" si="30"/>
        <v>130.41934604905799</v>
      </c>
      <c r="CU29" s="83">
        <f t="shared" si="30"/>
        <v>130.41934604905799</v>
      </c>
      <c r="CV29" s="83">
        <f t="shared" si="30"/>
        <v>130.41934604905799</v>
      </c>
      <c r="CW29" s="83">
        <f t="shared" si="30"/>
        <v>130.41934604905799</v>
      </c>
      <c r="CX29" s="83">
        <f t="shared" si="30"/>
        <v>130.41934604905799</v>
      </c>
    </row>
    <row r="30" spans="2:103" s="35" customFormat="1" ht="12.6" customHeight="1" x14ac:dyDescent="0.2">
      <c r="B30" s="79" t="s">
        <v>99</v>
      </c>
      <c r="C30" s="80"/>
      <c r="D30" s="84">
        <f>D22/D16+1</f>
        <v>0.80952380952380953</v>
      </c>
      <c r="E30" s="82"/>
      <c r="F30" s="80"/>
      <c r="G30" s="84">
        <f>1-INDEX(Assumptions!$C$44:$M$44,MATCH('DCF Model'!G5,Assumptions!$C$38:$M$38))</f>
        <v>0.8</v>
      </c>
      <c r="H30" s="84">
        <f>1-INDEX(Assumptions!$C$44:$M$44,MATCH('DCF Model'!H5,Assumptions!$C$38:$M$38))</f>
        <v>0.8</v>
      </c>
      <c r="I30" s="84">
        <f>1-INDEX(Assumptions!$C$44:$M$44,MATCH('DCF Model'!I5,Assumptions!$C$38:$M$38))</f>
        <v>0.8</v>
      </c>
      <c r="J30" s="84">
        <f>1-INDEX(Assumptions!$C$44:$M$44,MATCH('DCF Model'!J5,Assumptions!$C$38:$M$38))</f>
        <v>0.8</v>
      </c>
      <c r="K30" s="84">
        <f>1-INDEX(Assumptions!$C$44:$M$44,MATCH('DCF Model'!K5,Assumptions!$C$38:$M$38))</f>
        <v>0.8</v>
      </c>
      <c r="L30" s="84">
        <f>1-INDEX(Assumptions!$C$44:$M$44,MATCH('DCF Model'!L5,Assumptions!$C$38:$M$38))</f>
        <v>0.8</v>
      </c>
      <c r="M30" s="84">
        <f>1-INDEX(Assumptions!$C$44:$M$44,MATCH('DCF Model'!M5,Assumptions!$C$38:$M$38))</f>
        <v>0.8</v>
      </c>
      <c r="N30" s="84">
        <f>1-INDEX(Assumptions!$C$44:$M$44,MATCH('DCF Model'!N5,Assumptions!$C$38:$M$38))</f>
        <v>0.8</v>
      </c>
      <c r="O30" s="84">
        <f>1-INDEX(Assumptions!$C$44:$M$44,MATCH('DCF Model'!O5,Assumptions!$C$38:$M$38))</f>
        <v>0.8</v>
      </c>
      <c r="P30" s="84">
        <f>1-INDEX(Assumptions!$C$44:$M$44,MATCH('DCF Model'!P5,Assumptions!$C$38:$M$38))</f>
        <v>0.8</v>
      </c>
      <c r="Q30" s="84">
        <f>1-INDEX(Assumptions!$C$44:$M$44,MATCH('DCF Model'!Q5,Assumptions!$C$38:$M$38))</f>
        <v>0.8</v>
      </c>
      <c r="R30" s="84">
        <f>1-INDEX(Assumptions!$C$44:$M$44,MATCH('DCF Model'!R5,Assumptions!$C$38:$M$38))</f>
        <v>0.8</v>
      </c>
      <c r="S30" s="84">
        <f>1-INDEX(Assumptions!$C$44:$M$44,MATCH('DCF Model'!S5,Assumptions!$C$38:$M$38))</f>
        <v>0.85</v>
      </c>
      <c r="T30" s="84">
        <f>1-INDEX(Assumptions!$C$44:$M$44,MATCH('DCF Model'!T5,Assumptions!$C$38:$M$38))</f>
        <v>0.85</v>
      </c>
      <c r="U30" s="84">
        <f>1-INDEX(Assumptions!$C$44:$M$44,MATCH('DCF Model'!U5,Assumptions!$C$38:$M$38))</f>
        <v>0.85</v>
      </c>
      <c r="V30" s="84">
        <f>1-INDEX(Assumptions!$C$44:$M$44,MATCH('DCF Model'!V5,Assumptions!$C$38:$M$38))</f>
        <v>0.85</v>
      </c>
      <c r="W30" s="84">
        <f>1-INDEX(Assumptions!$C$44:$M$44,MATCH('DCF Model'!W5,Assumptions!$C$38:$M$38))</f>
        <v>0.85</v>
      </c>
      <c r="X30" s="84">
        <f>1-INDEX(Assumptions!$C$44:$M$44,MATCH('DCF Model'!X5,Assumptions!$C$38:$M$38))</f>
        <v>0.85</v>
      </c>
      <c r="Y30" s="84">
        <f>1-INDEX(Assumptions!$C$44:$M$44,MATCH('DCF Model'!Y5,Assumptions!$C$38:$M$38))</f>
        <v>0.85</v>
      </c>
      <c r="Z30" s="84">
        <f>1-INDEX(Assumptions!$C$44:$M$44,MATCH('DCF Model'!Z5,Assumptions!$C$38:$M$38))</f>
        <v>0.85</v>
      </c>
      <c r="AA30" s="84">
        <f>1-INDEX(Assumptions!$C$44:$M$44,MATCH('DCF Model'!AA5,Assumptions!$C$38:$M$38))</f>
        <v>0.85</v>
      </c>
      <c r="AB30" s="84">
        <f>1-INDEX(Assumptions!$C$44:$M$44,MATCH('DCF Model'!AB5,Assumptions!$C$38:$M$38))</f>
        <v>0.85</v>
      </c>
      <c r="AC30" s="84">
        <f>1-INDEX(Assumptions!$C$44:$M$44,MATCH('DCF Model'!AC5,Assumptions!$C$38:$M$38))</f>
        <v>0.85</v>
      </c>
      <c r="AD30" s="84">
        <f>1-INDEX(Assumptions!$C$44:$M$44,MATCH('DCF Model'!AD5,Assumptions!$C$38:$M$38))</f>
        <v>0.85</v>
      </c>
      <c r="AE30" s="84">
        <f>1-INDEX(Assumptions!$C$44:$M$44,MATCH('DCF Model'!AE5,Assumptions!$C$38:$M$38))</f>
        <v>0.95</v>
      </c>
      <c r="AF30" s="84">
        <f>1-INDEX(Assumptions!$C$44:$M$44,MATCH('DCF Model'!AF5,Assumptions!$C$38:$M$38))</f>
        <v>0.95</v>
      </c>
      <c r="AG30" s="84">
        <f>1-INDEX(Assumptions!$C$44:$M$44,MATCH('DCF Model'!AG5,Assumptions!$C$38:$M$38))</f>
        <v>0.95</v>
      </c>
      <c r="AH30" s="84">
        <f>1-INDEX(Assumptions!$C$44:$M$44,MATCH('DCF Model'!AH5,Assumptions!$C$38:$M$38))</f>
        <v>0.95</v>
      </c>
      <c r="AI30" s="84">
        <f>1-INDEX(Assumptions!$C$44:$M$44,MATCH('DCF Model'!AI5,Assumptions!$C$38:$M$38))</f>
        <v>0.95</v>
      </c>
      <c r="AJ30" s="84">
        <f>1-INDEX(Assumptions!$C$44:$M$44,MATCH('DCF Model'!AJ5,Assumptions!$C$38:$M$38))</f>
        <v>0.95</v>
      </c>
      <c r="AK30" s="84">
        <f>1-INDEX(Assumptions!$C$44:$M$44,MATCH('DCF Model'!AK5,Assumptions!$C$38:$M$38))</f>
        <v>0.95</v>
      </c>
      <c r="AL30" s="84">
        <f>1-INDEX(Assumptions!$C$44:$M$44,MATCH('DCF Model'!AL5,Assumptions!$C$38:$M$38))</f>
        <v>0.95</v>
      </c>
      <c r="AM30" s="84">
        <f>1-INDEX(Assumptions!$C$44:$M$44,MATCH('DCF Model'!AM5,Assumptions!$C$38:$M$38))</f>
        <v>0.95</v>
      </c>
      <c r="AN30" s="84">
        <f>1-INDEX(Assumptions!$C$44:$M$44,MATCH('DCF Model'!AN5,Assumptions!$C$38:$M$38))</f>
        <v>0.95</v>
      </c>
      <c r="AO30" s="84">
        <f>1-INDEX(Assumptions!$C$44:$M$44,MATCH('DCF Model'!AO5,Assumptions!$C$38:$M$38))</f>
        <v>0.95</v>
      </c>
      <c r="AP30" s="84">
        <f>1-INDEX(Assumptions!$C$44:$M$44,MATCH('DCF Model'!AP5,Assumptions!$C$38:$M$38))</f>
        <v>0.95</v>
      </c>
      <c r="AQ30" s="84">
        <f>1-INDEX(Assumptions!$C$44:$M$44,MATCH('DCF Model'!AQ5,Assumptions!$C$38:$M$38))</f>
        <v>0.95</v>
      </c>
      <c r="AR30" s="84">
        <f>1-INDEX(Assumptions!$C$44:$M$44,MATCH('DCF Model'!AR5,Assumptions!$C$38:$M$38))</f>
        <v>0.95</v>
      </c>
      <c r="AS30" s="84">
        <f>1-INDEX(Assumptions!$C$44:$M$44,MATCH('DCF Model'!AS5,Assumptions!$C$38:$M$38))</f>
        <v>0.95</v>
      </c>
      <c r="AT30" s="84">
        <f>1-INDEX(Assumptions!$C$44:$M$44,MATCH('DCF Model'!AT5,Assumptions!$C$38:$M$38))</f>
        <v>0.95</v>
      </c>
      <c r="AU30" s="84">
        <f>1-INDEX(Assumptions!$C$44:$M$44,MATCH('DCF Model'!AU5,Assumptions!$C$38:$M$38))</f>
        <v>0.95</v>
      </c>
      <c r="AV30" s="84">
        <f>1-INDEX(Assumptions!$C$44:$M$44,MATCH('DCF Model'!AV5,Assumptions!$C$38:$M$38))</f>
        <v>0.95</v>
      </c>
      <c r="AW30" s="84">
        <f>1-INDEX(Assumptions!$C$44:$M$44,MATCH('DCF Model'!AW5,Assumptions!$C$38:$M$38))</f>
        <v>0.95</v>
      </c>
      <c r="AX30" s="84">
        <f>1-INDEX(Assumptions!$C$44:$M$44,MATCH('DCF Model'!AX5,Assumptions!$C$38:$M$38))</f>
        <v>0.95</v>
      </c>
      <c r="AY30" s="84">
        <f>1-INDEX(Assumptions!$C$44:$M$44,MATCH('DCF Model'!AY5,Assumptions!$C$38:$M$38))</f>
        <v>0.95</v>
      </c>
      <c r="AZ30" s="84">
        <f>1-INDEX(Assumptions!$C$44:$M$44,MATCH('DCF Model'!AZ5,Assumptions!$C$38:$M$38))</f>
        <v>0.95</v>
      </c>
      <c r="BA30" s="84">
        <f>1-INDEX(Assumptions!$C$44:$M$44,MATCH('DCF Model'!BA5,Assumptions!$C$38:$M$38))</f>
        <v>0.95</v>
      </c>
      <c r="BB30" s="84">
        <f>1-INDEX(Assumptions!$C$44:$M$44,MATCH('DCF Model'!BB5,Assumptions!$C$38:$M$38))</f>
        <v>0.95</v>
      </c>
      <c r="BC30" s="84">
        <f>1-INDEX(Assumptions!$C$44:$M$44,MATCH('DCF Model'!BC5,Assumptions!$C$38:$M$38))</f>
        <v>0.95</v>
      </c>
      <c r="BD30" s="84">
        <f>1-INDEX(Assumptions!$C$44:$M$44,MATCH('DCF Model'!BD5,Assumptions!$C$38:$M$38))</f>
        <v>0.95</v>
      </c>
      <c r="BE30" s="84">
        <f>1-INDEX(Assumptions!$C$44:$M$44,MATCH('DCF Model'!BE5,Assumptions!$C$38:$M$38))</f>
        <v>0.95</v>
      </c>
      <c r="BF30" s="84">
        <f>1-INDEX(Assumptions!$C$44:$M$44,MATCH('DCF Model'!BF5,Assumptions!$C$38:$M$38))</f>
        <v>0.95</v>
      </c>
      <c r="BG30" s="84">
        <f>1-INDEX(Assumptions!$C$44:$M$44,MATCH('DCF Model'!BG5,Assumptions!$C$38:$M$38))</f>
        <v>0.95</v>
      </c>
      <c r="BH30" s="84">
        <f>1-INDEX(Assumptions!$C$44:$M$44,MATCH('DCF Model'!BH5,Assumptions!$C$38:$M$38))</f>
        <v>0.95</v>
      </c>
      <c r="BI30" s="84">
        <f>1-INDEX(Assumptions!$C$44:$M$44,MATCH('DCF Model'!BI5,Assumptions!$C$38:$M$38))</f>
        <v>0.95</v>
      </c>
      <c r="BJ30" s="84">
        <f>1-INDEX(Assumptions!$C$44:$M$44,MATCH('DCF Model'!BJ5,Assumptions!$C$38:$M$38))</f>
        <v>0.95</v>
      </c>
      <c r="BK30" s="84">
        <f>1-INDEX(Assumptions!$C$44:$M$44,MATCH('DCF Model'!BK5,Assumptions!$C$38:$M$38))</f>
        <v>0.95</v>
      </c>
      <c r="BL30" s="84">
        <f>1-INDEX(Assumptions!$C$44:$M$44,MATCH('DCF Model'!BL5,Assumptions!$C$38:$M$38))</f>
        <v>0.95</v>
      </c>
      <c r="BM30" s="84">
        <f>1-INDEX(Assumptions!$C$44:$M$44,MATCH('DCF Model'!BM5,Assumptions!$C$38:$M$38))</f>
        <v>0.95</v>
      </c>
      <c r="BN30" s="84">
        <f>1-INDEX(Assumptions!$C$44:$M$44,MATCH('DCF Model'!BN5,Assumptions!$C$38:$M$38))</f>
        <v>0.95</v>
      </c>
      <c r="BO30" s="84">
        <f>1-INDEX(Assumptions!$C$44:$M$44,MATCH('DCF Model'!BO5,Assumptions!$C$38:$M$38))</f>
        <v>0.95</v>
      </c>
      <c r="BP30" s="84">
        <f>1-INDEX(Assumptions!$C$44:$M$44,MATCH('DCF Model'!BP5,Assumptions!$C$38:$M$38))</f>
        <v>0.95</v>
      </c>
      <c r="BQ30" s="84">
        <f>1-INDEX(Assumptions!$C$44:$M$44,MATCH('DCF Model'!BQ5,Assumptions!$C$38:$M$38))</f>
        <v>0.95</v>
      </c>
      <c r="BR30" s="84">
        <f>1-INDEX(Assumptions!$C$44:$M$44,MATCH('DCF Model'!BR5,Assumptions!$C$38:$M$38))</f>
        <v>0.95</v>
      </c>
      <c r="BS30" s="84">
        <f>1-INDEX(Assumptions!$C$44:$M$44,MATCH('DCF Model'!BS5,Assumptions!$C$38:$M$38))</f>
        <v>0.95</v>
      </c>
      <c r="BT30" s="84">
        <f>1-INDEX(Assumptions!$C$44:$M$44,MATCH('DCF Model'!BT5,Assumptions!$C$38:$M$38))</f>
        <v>0.95</v>
      </c>
      <c r="BU30" s="84">
        <f>1-INDEX(Assumptions!$C$44:$M$44,MATCH('DCF Model'!BU5,Assumptions!$C$38:$M$38))</f>
        <v>0.95</v>
      </c>
      <c r="BV30" s="84">
        <f>1-INDEX(Assumptions!$C$44:$M$44,MATCH('DCF Model'!BV5,Assumptions!$C$38:$M$38))</f>
        <v>0.95</v>
      </c>
      <c r="BW30" s="84">
        <f>1-INDEX(Assumptions!$C$44:$M$44,MATCH('DCF Model'!BW5,Assumptions!$C$38:$M$38))</f>
        <v>0.95</v>
      </c>
      <c r="BX30" s="84">
        <f>1-INDEX(Assumptions!$C$44:$M$44,MATCH('DCF Model'!BX5,Assumptions!$C$38:$M$38))</f>
        <v>0.95</v>
      </c>
      <c r="BY30" s="84">
        <f>1-INDEX(Assumptions!$C$44:$M$44,MATCH('DCF Model'!BY5,Assumptions!$C$38:$M$38))</f>
        <v>0.95</v>
      </c>
      <c r="BZ30" s="84">
        <f>1-INDEX(Assumptions!$C$44:$M$44,MATCH('DCF Model'!BZ5,Assumptions!$C$38:$M$38))</f>
        <v>0.95</v>
      </c>
      <c r="CA30" s="84">
        <f>1-INDEX(Assumptions!$C$44:$M$44,MATCH('DCF Model'!CA5,Assumptions!$C$38:$M$38))</f>
        <v>0.95</v>
      </c>
      <c r="CB30" s="84">
        <f>1-INDEX(Assumptions!$C$44:$M$44,MATCH('DCF Model'!CB5,Assumptions!$C$38:$M$38))</f>
        <v>0.95</v>
      </c>
      <c r="CC30" s="84">
        <f>1-INDEX(Assumptions!$C$44:$M$44,MATCH('DCF Model'!CC5,Assumptions!$C$38:$M$38))</f>
        <v>0.95</v>
      </c>
      <c r="CD30" s="84">
        <f>1-INDEX(Assumptions!$C$44:$M$44,MATCH('DCF Model'!CD5,Assumptions!$C$38:$M$38))</f>
        <v>0.95</v>
      </c>
      <c r="CE30" s="84">
        <f>1-INDEX(Assumptions!$C$44:$M$44,MATCH('DCF Model'!CE5,Assumptions!$C$38:$M$38))</f>
        <v>0.95</v>
      </c>
      <c r="CF30" s="84">
        <f>1-INDEX(Assumptions!$C$44:$M$44,MATCH('DCF Model'!CF5,Assumptions!$C$38:$M$38))</f>
        <v>0.95</v>
      </c>
      <c r="CG30" s="84">
        <f>1-INDEX(Assumptions!$C$44:$M$44,MATCH('DCF Model'!CG5,Assumptions!$C$38:$M$38))</f>
        <v>0.95</v>
      </c>
      <c r="CH30" s="84">
        <f>1-INDEX(Assumptions!$C$44:$M$44,MATCH('DCF Model'!CH5,Assumptions!$C$38:$M$38))</f>
        <v>0.95</v>
      </c>
      <c r="CI30" s="84">
        <f>1-INDEX(Assumptions!$C$44:$M$44,MATCH('DCF Model'!CI5,Assumptions!$C$38:$M$38))</f>
        <v>0.95</v>
      </c>
      <c r="CJ30" s="84">
        <f>1-INDEX(Assumptions!$C$44:$M$44,MATCH('DCF Model'!CJ5,Assumptions!$C$38:$M$38))</f>
        <v>0.95</v>
      </c>
      <c r="CK30" s="84">
        <f>1-INDEX(Assumptions!$C$44:$M$44,MATCH('DCF Model'!CK5,Assumptions!$C$38:$M$38))</f>
        <v>0.95</v>
      </c>
      <c r="CL30" s="84">
        <f>1-INDEX(Assumptions!$C$44:$M$44,MATCH('DCF Model'!CL5,Assumptions!$C$38:$M$38))</f>
        <v>0.95</v>
      </c>
      <c r="CM30" s="84">
        <f>1-INDEX(Assumptions!$C$44:$M$44,MATCH('DCF Model'!CM5,Assumptions!$C$38:$M$38))</f>
        <v>0.95</v>
      </c>
      <c r="CN30" s="84">
        <f>1-INDEX(Assumptions!$C$44:$M$44,MATCH('DCF Model'!CN5,Assumptions!$C$38:$M$38))</f>
        <v>0.95</v>
      </c>
      <c r="CO30" s="84">
        <f>1-INDEX(Assumptions!$C$44:$M$44,MATCH('DCF Model'!CO5,Assumptions!$C$38:$M$38))</f>
        <v>0.95</v>
      </c>
      <c r="CP30" s="84">
        <f>1-INDEX(Assumptions!$C$44:$M$44,MATCH('DCF Model'!CP5,Assumptions!$C$38:$M$38))</f>
        <v>0.95</v>
      </c>
      <c r="CQ30" s="84">
        <f>1-INDEX(Assumptions!$C$44:$M$44,MATCH('DCF Model'!CQ5,Assumptions!$C$38:$M$38))</f>
        <v>0.95</v>
      </c>
      <c r="CR30" s="84">
        <f>1-INDEX(Assumptions!$C$44:$M$44,MATCH('DCF Model'!CR5,Assumptions!$C$38:$M$38))</f>
        <v>0.95</v>
      </c>
      <c r="CS30" s="84">
        <f>1-INDEX(Assumptions!$C$44:$M$44,MATCH('DCF Model'!CS5,Assumptions!$C$38:$M$38))</f>
        <v>0.95</v>
      </c>
      <c r="CT30" s="84">
        <f>1-INDEX(Assumptions!$C$44:$M$44,MATCH('DCF Model'!CT5,Assumptions!$C$38:$M$38))</f>
        <v>0.95</v>
      </c>
      <c r="CU30" s="84">
        <f>1-INDEX(Assumptions!$C$44:$M$44,MATCH('DCF Model'!CU5,Assumptions!$C$38:$M$38))</f>
        <v>0.95</v>
      </c>
      <c r="CV30" s="84">
        <f>1-INDEX(Assumptions!$C$44:$M$44,MATCH('DCF Model'!CV5,Assumptions!$C$38:$M$38))</f>
        <v>0.95</v>
      </c>
      <c r="CW30" s="84">
        <f>1-INDEX(Assumptions!$C$44:$M$44,MATCH('DCF Model'!CW5,Assumptions!$C$38:$M$38))</f>
        <v>0.95</v>
      </c>
      <c r="CX30" s="84">
        <f>1-INDEX(Assumptions!$C$44:$M$44,MATCH('DCF Model'!CX5,Assumptions!$C$38:$M$38))</f>
        <v>0.95</v>
      </c>
    </row>
    <row r="31" spans="2:103" s="35" customFormat="1" ht="12.6" customHeight="1" x14ac:dyDescent="0.2">
      <c r="B31" s="79" t="s">
        <v>100</v>
      </c>
      <c r="C31" s="80"/>
      <c r="D31" s="84">
        <f>(D16+D22)/D16</f>
        <v>0.80952380952380953</v>
      </c>
      <c r="E31" s="82"/>
      <c r="F31" s="80"/>
      <c r="G31" s="84">
        <f t="shared" ref="G31:AL31" si="31">(G16+G22)/G16</f>
        <v>0.8</v>
      </c>
      <c r="H31" s="84">
        <f t="shared" si="31"/>
        <v>0.8</v>
      </c>
      <c r="I31" s="84">
        <f t="shared" si="31"/>
        <v>0.8</v>
      </c>
      <c r="J31" s="84">
        <f t="shared" si="31"/>
        <v>0.8</v>
      </c>
      <c r="K31" s="84">
        <f t="shared" si="31"/>
        <v>0.8</v>
      </c>
      <c r="L31" s="84">
        <f t="shared" si="31"/>
        <v>0.8</v>
      </c>
      <c r="M31" s="84">
        <f t="shared" si="31"/>
        <v>0.8</v>
      </c>
      <c r="N31" s="84">
        <f t="shared" si="31"/>
        <v>0.8</v>
      </c>
      <c r="O31" s="84">
        <f t="shared" si="31"/>
        <v>0.8</v>
      </c>
      <c r="P31" s="84">
        <f t="shared" si="31"/>
        <v>0.8</v>
      </c>
      <c r="Q31" s="84">
        <f t="shared" si="31"/>
        <v>0.8</v>
      </c>
      <c r="R31" s="84">
        <f t="shared" si="31"/>
        <v>0.8</v>
      </c>
      <c r="S31" s="84">
        <f t="shared" si="31"/>
        <v>0.85</v>
      </c>
      <c r="T31" s="84">
        <f t="shared" si="31"/>
        <v>0.85</v>
      </c>
      <c r="U31" s="84">
        <f t="shared" si="31"/>
        <v>0.85</v>
      </c>
      <c r="V31" s="84">
        <f t="shared" si="31"/>
        <v>0.85</v>
      </c>
      <c r="W31" s="84">
        <f t="shared" si="31"/>
        <v>0.85</v>
      </c>
      <c r="X31" s="84">
        <f t="shared" si="31"/>
        <v>0.85</v>
      </c>
      <c r="Y31" s="84">
        <f t="shared" si="31"/>
        <v>0.85</v>
      </c>
      <c r="Z31" s="84">
        <f t="shared" si="31"/>
        <v>0.85</v>
      </c>
      <c r="AA31" s="84">
        <f t="shared" si="31"/>
        <v>0.85</v>
      </c>
      <c r="AB31" s="84">
        <f t="shared" si="31"/>
        <v>0.85</v>
      </c>
      <c r="AC31" s="84">
        <f t="shared" si="31"/>
        <v>0.85</v>
      </c>
      <c r="AD31" s="84">
        <f t="shared" si="31"/>
        <v>0.85</v>
      </c>
      <c r="AE31" s="84">
        <f t="shared" si="31"/>
        <v>0.95</v>
      </c>
      <c r="AF31" s="84">
        <f t="shared" si="31"/>
        <v>0.95</v>
      </c>
      <c r="AG31" s="84">
        <f t="shared" si="31"/>
        <v>0.95</v>
      </c>
      <c r="AH31" s="84">
        <f t="shared" si="31"/>
        <v>0.95</v>
      </c>
      <c r="AI31" s="84">
        <f t="shared" si="31"/>
        <v>0.95</v>
      </c>
      <c r="AJ31" s="84">
        <f t="shared" si="31"/>
        <v>0.95</v>
      </c>
      <c r="AK31" s="84">
        <f t="shared" si="31"/>
        <v>0.95</v>
      </c>
      <c r="AL31" s="84">
        <f t="shared" si="31"/>
        <v>0.95</v>
      </c>
      <c r="AM31" s="84">
        <f t="shared" ref="AM31:BR31" si="32">(AM16+AM22)/AM16</f>
        <v>0.95</v>
      </c>
      <c r="AN31" s="84">
        <f t="shared" si="32"/>
        <v>0.95</v>
      </c>
      <c r="AO31" s="84">
        <f t="shared" si="32"/>
        <v>0.95</v>
      </c>
      <c r="AP31" s="84">
        <f t="shared" si="32"/>
        <v>0.95</v>
      </c>
      <c r="AQ31" s="84">
        <f t="shared" si="32"/>
        <v>0.95</v>
      </c>
      <c r="AR31" s="84">
        <f t="shared" si="32"/>
        <v>0.95</v>
      </c>
      <c r="AS31" s="84">
        <f t="shared" si="32"/>
        <v>0.95</v>
      </c>
      <c r="AT31" s="84">
        <f t="shared" si="32"/>
        <v>0.95</v>
      </c>
      <c r="AU31" s="84">
        <f t="shared" si="32"/>
        <v>0.95</v>
      </c>
      <c r="AV31" s="84">
        <f t="shared" si="32"/>
        <v>0.95</v>
      </c>
      <c r="AW31" s="84">
        <f t="shared" si="32"/>
        <v>0.95</v>
      </c>
      <c r="AX31" s="84">
        <f t="shared" si="32"/>
        <v>0.95</v>
      </c>
      <c r="AY31" s="84">
        <f t="shared" si="32"/>
        <v>0.95</v>
      </c>
      <c r="AZ31" s="84">
        <f t="shared" si="32"/>
        <v>0.95</v>
      </c>
      <c r="BA31" s="84">
        <f t="shared" si="32"/>
        <v>0.95</v>
      </c>
      <c r="BB31" s="84">
        <f t="shared" si="32"/>
        <v>0.95</v>
      </c>
      <c r="BC31" s="84">
        <f t="shared" si="32"/>
        <v>0.95000000000000007</v>
      </c>
      <c r="BD31" s="84">
        <f t="shared" si="32"/>
        <v>0.95000000000000007</v>
      </c>
      <c r="BE31" s="84">
        <f t="shared" si="32"/>
        <v>0.95000000000000007</v>
      </c>
      <c r="BF31" s="84">
        <f t="shared" si="32"/>
        <v>0.95000000000000007</v>
      </c>
      <c r="BG31" s="84">
        <f t="shared" si="32"/>
        <v>0.95000000000000007</v>
      </c>
      <c r="BH31" s="84">
        <f t="shared" si="32"/>
        <v>0.95000000000000007</v>
      </c>
      <c r="BI31" s="84">
        <f t="shared" si="32"/>
        <v>0.95000000000000007</v>
      </c>
      <c r="BJ31" s="84">
        <f t="shared" si="32"/>
        <v>0.95000000000000007</v>
      </c>
      <c r="BK31" s="84">
        <f t="shared" si="32"/>
        <v>0.95000000000000007</v>
      </c>
      <c r="BL31" s="84">
        <f t="shared" si="32"/>
        <v>0.95000000000000007</v>
      </c>
      <c r="BM31" s="84">
        <f t="shared" si="32"/>
        <v>0.95000000000000007</v>
      </c>
      <c r="BN31" s="84">
        <f t="shared" si="32"/>
        <v>0.95000000000000007</v>
      </c>
      <c r="BO31" s="84">
        <f t="shared" si="32"/>
        <v>0.95000000000000007</v>
      </c>
      <c r="BP31" s="84">
        <f t="shared" si="32"/>
        <v>0.95000000000000007</v>
      </c>
      <c r="BQ31" s="84">
        <f t="shared" si="32"/>
        <v>0.95000000000000007</v>
      </c>
      <c r="BR31" s="84">
        <f t="shared" si="32"/>
        <v>0.95000000000000007</v>
      </c>
      <c r="BS31" s="84">
        <f t="shared" ref="BS31:CX31" si="33">(BS16+BS22)/BS16</f>
        <v>0.95000000000000007</v>
      </c>
      <c r="BT31" s="84">
        <f t="shared" si="33"/>
        <v>0.95000000000000007</v>
      </c>
      <c r="BU31" s="84">
        <f t="shared" si="33"/>
        <v>0.95000000000000007</v>
      </c>
      <c r="BV31" s="84">
        <f t="shared" si="33"/>
        <v>0.95000000000000007</v>
      </c>
      <c r="BW31" s="84">
        <f t="shared" si="33"/>
        <v>0.95000000000000007</v>
      </c>
      <c r="BX31" s="84">
        <f t="shared" si="33"/>
        <v>0.95000000000000007</v>
      </c>
      <c r="BY31" s="84">
        <f t="shared" si="33"/>
        <v>0.95000000000000007</v>
      </c>
      <c r="BZ31" s="84">
        <f t="shared" si="33"/>
        <v>0.95000000000000007</v>
      </c>
      <c r="CA31" s="84">
        <f t="shared" si="33"/>
        <v>0.95</v>
      </c>
      <c r="CB31" s="84">
        <f t="shared" si="33"/>
        <v>0.95</v>
      </c>
      <c r="CC31" s="84">
        <f t="shared" si="33"/>
        <v>0.95</v>
      </c>
      <c r="CD31" s="84">
        <f t="shared" si="33"/>
        <v>0.95</v>
      </c>
      <c r="CE31" s="84">
        <f t="shared" si="33"/>
        <v>0.95</v>
      </c>
      <c r="CF31" s="84">
        <f t="shared" si="33"/>
        <v>0.95</v>
      </c>
      <c r="CG31" s="84">
        <f t="shared" si="33"/>
        <v>0.95</v>
      </c>
      <c r="CH31" s="84">
        <f t="shared" si="33"/>
        <v>0.95</v>
      </c>
      <c r="CI31" s="84">
        <f t="shared" si="33"/>
        <v>0.95</v>
      </c>
      <c r="CJ31" s="84">
        <f t="shared" si="33"/>
        <v>0.95</v>
      </c>
      <c r="CK31" s="84">
        <f t="shared" si="33"/>
        <v>0.95</v>
      </c>
      <c r="CL31" s="84">
        <f t="shared" si="33"/>
        <v>0.95</v>
      </c>
      <c r="CM31" s="84">
        <f t="shared" si="33"/>
        <v>0.95000000000000007</v>
      </c>
      <c r="CN31" s="84">
        <f t="shared" si="33"/>
        <v>0.95000000000000007</v>
      </c>
      <c r="CO31" s="84">
        <f t="shared" si="33"/>
        <v>0.95000000000000007</v>
      </c>
      <c r="CP31" s="84">
        <f t="shared" si="33"/>
        <v>0.95000000000000007</v>
      </c>
      <c r="CQ31" s="84">
        <f t="shared" si="33"/>
        <v>0.95000000000000007</v>
      </c>
      <c r="CR31" s="84">
        <f t="shared" si="33"/>
        <v>0.95000000000000007</v>
      </c>
      <c r="CS31" s="84">
        <f t="shared" si="33"/>
        <v>0.95000000000000007</v>
      </c>
      <c r="CT31" s="84">
        <f t="shared" si="33"/>
        <v>0.95000000000000007</v>
      </c>
      <c r="CU31" s="84">
        <f t="shared" si="33"/>
        <v>0.95000000000000007</v>
      </c>
      <c r="CV31" s="84">
        <f t="shared" si="33"/>
        <v>0.95000000000000007</v>
      </c>
      <c r="CW31" s="84">
        <f t="shared" si="33"/>
        <v>0.95000000000000007</v>
      </c>
      <c r="CX31" s="84">
        <f t="shared" si="33"/>
        <v>0.95000000000000007</v>
      </c>
    </row>
    <row r="32" spans="2:103" ht="12.6" customHeight="1" x14ac:dyDescent="0.2">
      <c r="B32" s="79" t="s">
        <v>101</v>
      </c>
      <c r="C32" s="80"/>
      <c r="D32" s="84">
        <f>D23/D17+1</f>
        <v>0.9</v>
      </c>
      <c r="E32" s="85"/>
      <c r="F32" s="85"/>
      <c r="G32" s="84">
        <f>1-INDEX(Assumptions!$C$42:$M$42,MATCH('DCF Model'!G5,Assumptions!$C$38:$M$38))</f>
        <v>0.9</v>
      </c>
      <c r="H32" s="84">
        <f>1-INDEX(Assumptions!$C$42:$M$42,MATCH('DCF Model'!H5,Assumptions!$C$38:$M$38))</f>
        <v>0.9</v>
      </c>
      <c r="I32" s="84">
        <f>1-INDEX(Assumptions!$C$42:$M$42,MATCH('DCF Model'!I5,Assumptions!$C$38:$M$38))</f>
        <v>0.9</v>
      </c>
      <c r="J32" s="84">
        <f>1-INDEX(Assumptions!$C$42:$M$42,MATCH('DCF Model'!J5,Assumptions!$C$38:$M$38))</f>
        <v>0.9</v>
      </c>
      <c r="K32" s="84">
        <f>1-INDEX(Assumptions!$C$42:$M$42,MATCH('DCF Model'!K5,Assumptions!$C$38:$M$38))</f>
        <v>0.9</v>
      </c>
      <c r="L32" s="84">
        <f>1-INDEX(Assumptions!$C$42:$M$42,MATCH('DCF Model'!L5,Assumptions!$C$38:$M$38))</f>
        <v>0.9</v>
      </c>
      <c r="M32" s="84">
        <f>1-INDEX(Assumptions!$C$42:$M$42,MATCH('DCF Model'!M5,Assumptions!$C$38:$M$38))</f>
        <v>0.9</v>
      </c>
      <c r="N32" s="84">
        <f>1-INDEX(Assumptions!$C$42:$M$42,MATCH('DCF Model'!N5,Assumptions!$C$38:$M$38))</f>
        <v>0.9</v>
      </c>
      <c r="O32" s="84">
        <f>1-INDEX(Assumptions!$C$42:$M$42,MATCH('DCF Model'!O5,Assumptions!$C$38:$M$38))</f>
        <v>0.9</v>
      </c>
      <c r="P32" s="84">
        <f>1-INDEX(Assumptions!$C$42:$M$42,MATCH('DCF Model'!P5,Assumptions!$C$38:$M$38))</f>
        <v>0.9</v>
      </c>
      <c r="Q32" s="84">
        <f>1-INDEX(Assumptions!$C$42:$M$42,MATCH('DCF Model'!Q5,Assumptions!$C$38:$M$38))</f>
        <v>0.9</v>
      </c>
      <c r="R32" s="84">
        <f>1-INDEX(Assumptions!$C$42:$M$42,MATCH('DCF Model'!R5,Assumptions!$C$38:$M$38))</f>
        <v>0.9</v>
      </c>
      <c r="S32" s="84">
        <f>1-INDEX(Assumptions!$C$42:$M$42,MATCH('DCF Model'!S5,Assumptions!$C$38:$M$38))</f>
        <v>0.9</v>
      </c>
      <c r="T32" s="84">
        <f>1-INDEX(Assumptions!$C$42:$M$42,MATCH('DCF Model'!T5,Assumptions!$C$38:$M$38))</f>
        <v>0.9</v>
      </c>
      <c r="U32" s="84">
        <f>1-INDEX(Assumptions!$C$42:$M$42,MATCH('DCF Model'!U5,Assumptions!$C$38:$M$38))</f>
        <v>0.9</v>
      </c>
      <c r="V32" s="84">
        <f>1-INDEX(Assumptions!$C$42:$M$42,MATCH('DCF Model'!V5,Assumptions!$C$38:$M$38))</f>
        <v>0.9</v>
      </c>
      <c r="W32" s="84">
        <f>1-INDEX(Assumptions!$C$42:$M$42,MATCH('DCF Model'!W5,Assumptions!$C$38:$M$38))</f>
        <v>0.9</v>
      </c>
      <c r="X32" s="84">
        <f>1-INDEX(Assumptions!$C$42:$M$42,MATCH('DCF Model'!X5,Assumptions!$C$38:$M$38))</f>
        <v>0.9</v>
      </c>
      <c r="Y32" s="84">
        <f>1-INDEX(Assumptions!$C$42:$M$42,MATCH('DCF Model'!Y5,Assumptions!$C$38:$M$38))</f>
        <v>0.9</v>
      </c>
      <c r="Z32" s="84">
        <f>1-INDEX(Assumptions!$C$42:$M$42,MATCH('DCF Model'!Z5,Assumptions!$C$38:$M$38))</f>
        <v>0.9</v>
      </c>
      <c r="AA32" s="84">
        <f>1-INDEX(Assumptions!$C$42:$M$42,MATCH('DCF Model'!AA5,Assumptions!$C$38:$M$38))</f>
        <v>0.9</v>
      </c>
      <c r="AB32" s="84">
        <f>1-INDEX(Assumptions!$C$42:$M$42,MATCH('DCF Model'!AB5,Assumptions!$C$38:$M$38))</f>
        <v>0.9</v>
      </c>
      <c r="AC32" s="84">
        <f>1-INDEX(Assumptions!$C$42:$M$42,MATCH('DCF Model'!AC5,Assumptions!$C$38:$M$38))</f>
        <v>0.9</v>
      </c>
      <c r="AD32" s="84">
        <f>1-INDEX(Assumptions!$C$42:$M$42,MATCH('DCF Model'!AD5,Assumptions!$C$38:$M$38))</f>
        <v>0.9</v>
      </c>
      <c r="AE32" s="84">
        <f>1-INDEX(Assumptions!$C$42:$M$42,MATCH('DCF Model'!AE5,Assumptions!$C$38:$M$38))</f>
        <v>0.9</v>
      </c>
      <c r="AF32" s="84">
        <f>1-INDEX(Assumptions!$C$42:$M$42,MATCH('DCF Model'!AF5,Assumptions!$C$38:$M$38))</f>
        <v>0.9</v>
      </c>
      <c r="AG32" s="84">
        <f>1-INDEX(Assumptions!$C$42:$M$42,MATCH('DCF Model'!AG5,Assumptions!$C$38:$M$38))</f>
        <v>0.9</v>
      </c>
      <c r="AH32" s="84">
        <f>1-INDEX(Assumptions!$C$42:$M$42,MATCH('DCF Model'!AH5,Assumptions!$C$38:$M$38))</f>
        <v>0.9</v>
      </c>
      <c r="AI32" s="84">
        <f>1-INDEX(Assumptions!$C$42:$M$42,MATCH('DCF Model'!AI5,Assumptions!$C$38:$M$38))</f>
        <v>0.9</v>
      </c>
      <c r="AJ32" s="84">
        <f>1-INDEX(Assumptions!$C$42:$M$42,MATCH('DCF Model'!AJ5,Assumptions!$C$38:$M$38))</f>
        <v>0.9</v>
      </c>
      <c r="AK32" s="84">
        <f>1-INDEX(Assumptions!$C$42:$M$42,MATCH('DCF Model'!AK5,Assumptions!$C$38:$M$38))</f>
        <v>0.9</v>
      </c>
      <c r="AL32" s="84">
        <f>1-INDEX(Assumptions!$C$42:$M$42,MATCH('DCF Model'!AL5,Assumptions!$C$38:$M$38))</f>
        <v>0.9</v>
      </c>
      <c r="AM32" s="84">
        <f>1-INDEX(Assumptions!$C$42:$M$42,MATCH('DCF Model'!AM5,Assumptions!$C$38:$M$38))</f>
        <v>0.9</v>
      </c>
      <c r="AN32" s="84">
        <f>1-INDEX(Assumptions!$C$42:$M$42,MATCH('DCF Model'!AN5,Assumptions!$C$38:$M$38))</f>
        <v>0.9</v>
      </c>
      <c r="AO32" s="84">
        <f>1-INDEX(Assumptions!$C$42:$M$42,MATCH('DCF Model'!AO5,Assumptions!$C$38:$M$38))</f>
        <v>0.9</v>
      </c>
      <c r="AP32" s="84">
        <f>1-INDEX(Assumptions!$C$42:$M$42,MATCH('DCF Model'!AP5,Assumptions!$C$38:$M$38))</f>
        <v>0.9</v>
      </c>
      <c r="AQ32" s="84">
        <f>1-INDEX(Assumptions!$C$42:$M$42,MATCH('DCF Model'!AQ5,Assumptions!$C$38:$M$38))</f>
        <v>0.9</v>
      </c>
      <c r="AR32" s="84">
        <f>1-INDEX(Assumptions!$C$42:$M$42,MATCH('DCF Model'!AR5,Assumptions!$C$38:$M$38))</f>
        <v>0.9</v>
      </c>
      <c r="AS32" s="84">
        <f>1-INDEX(Assumptions!$C$42:$M$42,MATCH('DCF Model'!AS5,Assumptions!$C$38:$M$38))</f>
        <v>0.9</v>
      </c>
      <c r="AT32" s="84">
        <f>1-INDEX(Assumptions!$C$42:$M$42,MATCH('DCF Model'!AT5,Assumptions!$C$38:$M$38))</f>
        <v>0.9</v>
      </c>
      <c r="AU32" s="84">
        <f>1-INDEX(Assumptions!$C$42:$M$42,MATCH('DCF Model'!AU5,Assumptions!$C$38:$M$38))</f>
        <v>0.9</v>
      </c>
      <c r="AV32" s="84">
        <f>1-INDEX(Assumptions!$C$42:$M$42,MATCH('DCF Model'!AV5,Assumptions!$C$38:$M$38))</f>
        <v>0.9</v>
      </c>
      <c r="AW32" s="84">
        <f>1-INDEX(Assumptions!$C$42:$M$42,MATCH('DCF Model'!AW5,Assumptions!$C$38:$M$38))</f>
        <v>0.9</v>
      </c>
      <c r="AX32" s="84">
        <f>1-INDEX(Assumptions!$C$42:$M$42,MATCH('DCF Model'!AX5,Assumptions!$C$38:$M$38))</f>
        <v>0.9</v>
      </c>
      <c r="AY32" s="84">
        <f>1-INDEX(Assumptions!$C$42:$M$42,MATCH('DCF Model'!AY5,Assumptions!$C$38:$M$38))</f>
        <v>0.9</v>
      </c>
      <c r="AZ32" s="84">
        <f>1-INDEX(Assumptions!$C$42:$M$42,MATCH('DCF Model'!AZ5,Assumptions!$C$38:$M$38))</f>
        <v>0.9</v>
      </c>
      <c r="BA32" s="84">
        <f>1-INDEX(Assumptions!$C$42:$M$42,MATCH('DCF Model'!BA5,Assumptions!$C$38:$M$38))</f>
        <v>0.9</v>
      </c>
      <c r="BB32" s="84">
        <f>1-INDEX(Assumptions!$C$42:$M$42,MATCH('DCF Model'!BB5,Assumptions!$C$38:$M$38))</f>
        <v>0.9</v>
      </c>
      <c r="BC32" s="84">
        <f>1-INDEX(Assumptions!$C$42:$M$42,MATCH('DCF Model'!BC5,Assumptions!$C$38:$M$38))</f>
        <v>0.9</v>
      </c>
      <c r="BD32" s="84">
        <f>1-INDEX(Assumptions!$C$42:$M$42,MATCH('DCF Model'!BD5,Assumptions!$C$38:$M$38))</f>
        <v>0.9</v>
      </c>
      <c r="BE32" s="84">
        <f>1-INDEX(Assumptions!$C$42:$M$42,MATCH('DCF Model'!BE5,Assumptions!$C$38:$M$38))</f>
        <v>0.9</v>
      </c>
      <c r="BF32" s="84">
        <f>1-INDEX(Assumptions!$C$42:$M$42,MATCH('DCF Model'!BF5,Assumptions!$C$38:$M$38))</f>
        <v>0.9</v>
      </c>
      <c r="BG32" s="84">
        <f>1-INDEX(Assumptions!$C$42:$M$42,MATCH('DCF Model'!BG5,Assumptions!$C$38:$M$38))</f>
        <v>0.9</v>
      </c>
      <c r="BH32" s="84">
        <f>1-INDEX(Assumptions!$C$42:$M$42,MATCH('DCF Model'!BH5,Assumptions!$C$38:$M$38))</f>
        <v>0.9</v>
      </c>
      <c r="BI32" s="84">
        <f>1-INDEX(Assumptions!$C$42:$M$42,MATCH('DCF Model'!BI5,Assumptions!$C$38:$M$38))</f>
        <v>0.9</v>
      </c>
      <c r="BJ32" s="84">
        <f>1-INDEX(Assumptions!$C$42:$M$42,MATCH('DCF Model'!BJ5,Assumptions!$C$38:$M$38))</f>
        <v>0.9</v>
      </c>
      <c r="BK32" s="84">
        <f>1-INDEX(Assumptions!$C$42:$M$42,MATCH('DCF Model'!BK5,Assumptions!$C$38:$M$38))</f>
        <v>0.9</v>
      </c>
      <c r="BL32" s="84">
        <f>1-INDEX(Assumptions!$C$42:$M$42,MATCH('DCF Model'!BL5,Assumptions!$C$38:$M$38))</f>
        <v>0.9</v>
      </c>
      <c r="BM32" s="84">
        <f>1-INDEX(Assumptions!$C$42:$M$42,MATCH('DCF Model'!BM5,Assumptions!$C$38:$M$38))</f>
        <v>0.9</v>
      </c>
      <c r="BN32" s="84">
        <f>1-INDEX(Assumptions!$C$42:$M$42,MATCH('DCF Model'!BN5,Assumptions!$C$38:$M$38))</f>
        <v>0.9</v>
      </c>
      <c r="BO32" s="84">
        <f>1-INDEX(Assumptions!$C$42:$M$42,MATCH('DCF Model'!BO5,Assumptions!$C$38:$M$38))</f>
        <v>0.9</v>
      </c>
      <c r="BP32" s="84">
        <f>1-INDEX(Assumptions!$C$42:$M$42,MATCH('DCF Model'!BP5,Assumptions!$C$38:$M$38))</f>
        <v>0.9</v>
      </c>
      <c r="BQ32" s="84">
        <f>1-INDEX(Assumptions!$C$42:$M$42,MATCH('DCF Model'!BQ5,Assumptions!$C$38:$M$38))</f>
        <v>0.9</v>
      </c>
      <c r="BR32" s="84">
        <f>1-INDEX(Assumptions!$C$42:$M$42,MATCH('DCF Model'!BR5,Assumptions!$C$38:$M$38))</f>
        <v>0.9</v>
      </c>
      <c r="BS32" s="84">
        <f>1-INDEX(Assumptions!$C$42:$M$42,MATCH('DCF Model'!BS5,Assumptions!$C$38:$M$38))</f>
        <v>0.9</v>
      </c>
      <c r="BT32" s="84">
        <f>1-INDEX(Assumptions!$C$42:$M$42,MATCH('DCF Model'!BT5,Assumptions!$C$38:$M$38))</f>
        <v>0.9</v>
      </c>
      <c r="BU32" s="84">
        <f>1-INDEX(Assumptions!$C$42:$M$42,MATCH('DCF Model'!BU5,Assumptions!$C$38:$M$38))</f>
        <v>0.9</v>
      </c>
      <c r="BV32" s="84">
        <f>1-INDEX(Assumptions!$C$42:$M$42,MATCH('DCF Model'!BV5,Assumptions!$C$38:$M$38))</f>
        <v>0.9</v>
      </c>
      <c r="BW32" s="84">
        <f>1-INDEX(Assumptions!$C$42:$M$42,MATCH('DCF Model'!BW5,Assumptions!$C$38:$M$38))</f>
        <v>0.9</v>
      </c>
      <c r="BX32" s="84">
        <f>1-INDEX(Assumptions!$C$42:$M$42,MATCH('DCF Model'!BX5,Assumptions!$C$38:$M$38))</f>
        <v>0.9</v>
      </c>
      <c r="BY32" s="84">
        <f>1-INDEX(Assumptions!$C$42:$M$42,MATCH('DCF Model'!BY5,Assumptions!$C$38:$M$38))</f>
        <v>0.9</v>
      </c>
      <c r="BZ32" s="84">
        <f>1-INDEX(Assumptions!$C$42:$M$42,MATCH('DCF Model'!BZ5,Assumptions!$C$38:$M$38))</f>
        <v>0.9</v>
      </c>
      <c r="CA32" s="84">
        <f>1-INDEX(Assumptions!$C$42:$M$42,MATCH('DCF Model'!CA5,Assumptions!$C$38:$M$38))</f>
        <v>0.9</v>
      </c>
      <c r="CB32" s="84">
        <f>1-INDEX(Assumptions!$C$42:$M$42,MATCH('DCF Model'!CB5,Assumptions!$C$38:$M$38))</f>
        <v>0.9</v>
      </c>
      <c r="CC32" s="84">
        <f>1-INDEX(Assumptions!$C$42:$M$42,MATCH('DCF Model'!CC5,Assumptions!$C$38:$M$38))</f>
        <v>0.9</v>
      </c>
      <c r="CD32" s="84">
        <f>1-INDEX(Assumptions!$C$42:$M$42,MATCH('DCF Model'!CD5,Assumptions!$C$38:$M$38))</f>
        <v>0.9</v>
      </c>
      <c r="CE32" s="84">
        <f>1-INDEX(Assumptions!$C$42:$M$42,MATCH('DCF Model'!CE5,Assumptions!$C$38:$M$38))</f>
        <v>0.9</v>
      </c>
      <c r="CF32" s="84">
        <f>1-INDEX(Assumptions!$C$42:$M$42,MATCH('DCF Model'!CF5,Assumptions!$C$38:$M$38))</f>
        <v>0.9</v>
      </c>
      <c r="CG32" s="84">
        <f>1-INDEX(Assumptions!$C$42:$M$42,MATCH('DCF Model'!CG5,Assumptions!$C$38:$M$38))</f>
        <v>0.9</v>
      </c>
      <c r="CH32" s="84">
        <f>1-INDEX(Assumptions!$C$42:$M$42,MATCH('DCF Model'!CH5,Assumptions!$C$38:$M$38))</f>
        <v>0.9</v>
      </c>
      <c r="CI32" s="84">
        <f>1-INDEX(Assumptions!$C$42:$M$42,MATCH('DCF Model'!CI5,Assumptions!$C$38:$M$38))</f>
        <v>0.9</v>
      </c>
      <c r="CJ32" s="84">
        <f>1-INDEX(Assumptions!$C$42:$M$42,MATCH('DCF Model'!CJ5,Assumptions!$C$38:$M$38))</f>
        <v>0.9</v>
      </c>
      <c r="CK32" s="84">
        <f>1-INDEX(Assumptions!$C$42:$M$42,MATCH('DCF Model'!CK5,Assumptions!$C$38:$M$38))</f>
        <v>0.9</v>
      </c>
      <c r="CL32" s="84">
        <f>1-INDEX(Assumptions!$C$42:$M$42,MATCH('DCF Model'!CL5,Assumptions!$C$38:$M$38))</f>
        <v>0.9</v>
      </c>
      <c r="CM32" s="84">
        <f>1-INDEX(Assumptions!$C$42:$M$42,MATCH('DCF Model'!CM5,Assumptions!$C$38:$M$38))</f>
        <v>0.9</v>
      </c>
      <c r="CN32" s="84">
        <f>1-INDEX(Assumptions!$C$42:$M$42,MATCH('DCF Model'!CN5,Assumptions!$C$38:$M$38))</f>
        <v>0.9</v>
      </c>
      <c r="CO32" s="84">
        <f>1-INDEX(Assumptions!$C$42:$M$42,MATCH('DCF Model'!CO5,Assumptions!$C$38:$M$38))</f>
        <v>0.9</v>
      </c>
      <c r="CP32" s="84">
        <f>1-INDEX(Assumptions!$C$42:$M$42,MATCH('DCF Model'!CP5,Assumptions!$C$38:$M$38))</f>
        <v>0.9</v>
      </c>
      <c r="CQ32" s="84">
        <f>1-INDEX(Assumptions!$C$42:$M$42,MATCH('DCF Model'!CQ5,Assumptions!$C$38:$M$38))</f>
        <v>0.9</v>
      </c>
      <c r="CR32" s="84">
        <f>1-INDEX(Assumptions!$C$42:$M$42,MATCH('DCF Model'!CR5,Assumptions!$C$38:$M$38))</f>
        <v>0.9</v>
      </c>
      <c r="CS32" s="84">
        <f>1-INDEX(Assumptions!$C$42:$M$42,MATCH('DCF Model'!CS5,Assumptions!$C$38:$M$38))</f>
        <v>0.9</v>
      </c>
      <c r="CT32" s="84">
        <f>1-INDEX(Assumptions!$C$42:$M$42,MATCH('DCF Model'!CT5,Assumptions!$C$38:$M$38))</f>
        <v>0.9</v>
      </c>
      <c r="CU32" s="84">
        <f>1-INDEX(Assumptions!$C$42:$M$42,MATCH('DCF Model'!CU5,Assumptions!$C$38:$M$38))</f>
        <v>0.9</v>
      </c>
      <c r="CV32" s="84">
        <f>1-INDEX(Assumptions!$C$42:$M$42,MATCH('DCF Model'!CV5,Assumptions!$C$38:$M$38))</f>
        <v>0.9</v>
      </c>
      <c r="CW32" s="84">
        <f>1-INDEX(Assumptions!$C$42:$M$42,MATCH('DCF Model'!CW5,Assumptions!$C$38:$M$38))</f>
        <v>0.9</v>
      </c>
      <c r="CX32" s="84">
        <f>1-INDEX(Assumptions!$C$42:$M$42,MATCH('DCF Model'!CX5,Assumptions!$C$38:$M$38))</f>
        <v>0.9</v>
      </c>
    </row>
    <row r="33" spans="2:102" s="35" customFormat="1" ht="12.6" customHeight="1" x14ac:dyDescent="0.2">
      <c r="B33" s="79" t="s">
        <v>102</v>
      </c>
      <c r="C33" s="80"/>
      <c r="D33" s="84">
        <f>(D17+D23)/D17</f>
        <v>0.9</v>
      </c>
      <c r="E33" s="82"/>
      <c r="F33" s="80"/>
      <c r="G33" s="84">
        <f t="shared" ref="G33:AL33" si="34">(G17+G23)/G17</f>
        <v>0.9</v>
      </c>
      <c r="H33" s="84">
        <f t="shared" si="34"/>
        <v>0.9</v>
      </c>
      <c r="I33" s="84">
        <f t="shared" si="34"/>
        <v>0.9</v>
      </c>
      <c r="J33" s="84">
        <f t="shared" si="34"/>
        <v>0.9</v>
      </c>
      <c r="K33" s="84">
        <f t="shared" si="34"/>
        <v>0.9</v>
      </c>
      <c r="L33" s="84">
        <f t="shared" si="34"/>
        <v>0.9</v>
      </c>
      <c r="M33" s="84">
        <f t="shared" si="34"/>
        <v>0.9</v>
      </c>
      <c r="N33" s="84">
        <f t="shared" si="34"/>
        <v>0.9</v>
      </c>
      <c r="O33" s="84">
        <f t="shared" si="34"/>
        <v>0.9</v>
      </c>
      <c r="P33" s="84">
        <f t="shared" si="34"/>
        <v>0.9</v>
      </c>
      <c r="Q33" s="84">
        <f t="shared" si="34"/>
        <v>0.9</v>
      </c>
      <c r="R33" s="84">
        <f t="shared" si="34"/>
        <v>0.9</v>
      </c>
      <c r="S33" s="84">
        <f t="shared" si="34"/>
        <v>0.9</v>
      </c>
      <c r="T33" s="84">
        <f t="shared" si="34"/>
        <v>0.9</v>
      </c>
      <c r="U33" s="84">
        <f t="shared" si="34"/>
        <v>0.9</v>
      </c>
      <c r="V33" s="84">
        <f t="shared" si="34"/>
        <v>0.9</v>
      </c>
      <c r="W33" s="84">
        <f t="shared" si="34"/>
        <v>0.9</v>
      </c>
      <c r="X33" s="84">
        <f t="shared" si="34"/>
        <v>0.9</v>
      </c>
      <c r="Y33" s="84">
        <f t="shared" si="34"/>
        <v>0.9</v>
      </c>
      <c r="Z33" s="84">
        <f t="shared" si="34"/>
        <v>0.9</v>
      </c>
      <c r="AA33" s="84">
        <f t="shared" si="34"/>
        <v>0.9</v>
      </c>
      <c r="AB33" s="84">
        <f t="shared" si="34"/>
        <v>0.9</v>
      </c>
      <c r="AC33" s="84">
        <f t="shared" si="34"/>
        <v>0.9</v>
      </c>
      <c r="AD33" s="84">
        <f t="shared" si="34"/>
        <v>0.9</v>
      </c>
      <c r="AE33" s="84">
        <f t="shared" si="34"/>
        <v>0.9</v>
      </c>
      <c r="AF33" s="84">
        <f t="shared" si="34"/>
        <v>0.9</v>
      </c>
      <c r="AG33" s="84">
        <f t="shared" si="34"/>
        <v>0.9</v>
      </c>
      <c r="AH33" s="84">
        <f t="shared" si="34"/>
        <v>0.9</v>
      </c>
      <c r="AI33" s="84">
        <f t="shared" si="34"/>
        <v>0.9</v>
      </c>
      <c r="AJ33" s="84">
        <f t="shared" si="34"/>
        <v>0.9</v>
      </c>
      <c r="AK33" s="84">
        <f t="shared" si="34"/>
        <v>0.9</v>
      </c>
      <c r="AL33" s="84">
        <f t="shared" si="34"/>
        <v>0.9</v>
      </c>
      <c r="AM33" s="84">
        <f t="shared" ref="AM33:BR33" si="35">(AM17+AM23)/AM17</f>
        <v>0.9</v>
      </c>
      <c r="AN33" s="84">
        <f t="shared" si="35"/>
        <v>0.9</v>
      </c>
      <c r="AO33" s="84">
        <f t="shared" si="35"/>
        <v>0.9</v>
      </c>
      <c r="AP33" s="84">
        <f t="shared" si="35"/>
        <v>0.9</v>
      </c>
      <c r="AQ33" s="84">
        <f t="shared" si="35"/>
        <v>0.9</v>
      </c>
      <c r="AR33" s="84">
        <f t="shared" si="35"/>
        <v>0.9</v>
      </c>
      <c r="AS33" s="84">
        <f t="shared" si="35"/>
        <v>0.9</v>
      </c>
      <c r="AT33" s="84">
        <f t="shared" si="35"/>
        <v>0.9</v>
      </c>
      <c r="AU33" s="84">
        <f t="shared" si="35"/>
        <v>0.9</v>
      </c>
      <c r="AV33" s="84">
        <f t="shared" si="35"/>
        <v>0.9</v>
      </c>
      <c r="AW33" s="84">
        <f t="shared" si="35"/>
        <v>0.9</v>
      </c>
      <c r="AX33" s="84">
        <f t="shared" si="35"/>
        <v>0.9</v>
      </c>
      <c r="AY33" s="84">
        <f t="shared" si="35"/>
        <v>0.9</v>
      </c>
      <c r="AZ33" s="84">
        <f t="shared" si="35"/>
        <v>0.9</v>
      </c>
      <c r="BA33" s="84">
        <f t="shared" si="35"/>
        <v>0.9</v>
      </c>
      <c r="BB33" s="84">
        <f t="shared" si="35"/>
        <v>0.9</v>
      </c>
      <c r="BC33" s="84">
        <f t="shared" si="35"/>
        <v>0.9</v>
      </c>
      <c r="BD33" s="84">
        <f t="shared" si="35"/>
        <v>0.9</v>
      </c>
      <c r="BE33" s="84">
        <f t="shared" si="35"/>
        <v>0.9</v>
      </c>
      <c r="BF33" s="84">
        <f t="shared" si="35"/>
        <v>0.9</v>
      </c>
      <c r="BG33" s="84">
        <f t="shared" si="35"/>
        <v>0.9</v>
      </c>
      <c r="BH33" s="84">
        <f t="shared" si="35"/>
        <v>0.9</v>
      </c>
      <c r="BI33" s="84">
        <f t="shared" si="35"/>
        <v>0.9</v>
      </c>
      <c r="BJ33" s="84">
        <f t="shared" si="35"/>
        <v>0.9</v>
      </c>
      <c r="BK33" s="84">
        <f t="shared" si="35"/>
        <v>0.9</v>
      </c>
      <c r="BL33" s="84">
        <f t="shared" si="35"/>
        <v>0.9</v>
      </c>
      <c r="BM33" s="84">
        <f t="shared" si="35"/>
        <v>0.9</v>
      </c>
      <c r="BN33" s="84">
        <f t="shared" si="35"/>
        <v>0.9</v>
      </c>
      <c r="BO33" s="84">
        <f t="shared" si="35"/>
        <v>0.9</v>
      </c>
      <c r="BP33" s="84">
        <f t="shared" si="35"/>
        <v>0.9</v>
      </c>
      <c r="BQ33" s="84">
        <f t="shared" si="35"/>
        <v>0.9</v>
      </c>
      <c r="BR33" s="84">
        <f t="shared" si="35"/>
        <v>0.9</v>
      </c>
      <c r="BS33" s="84">
        <f t="shared" ref="BS33:CX33" si="36">(BS17+BS23)/BS17</f>
        <v>0.9</v>
      </c>
      <c r="BT33" s="84">
        <f t="shared" si="36"/>
        <v>0.9</v>
      </c>
      <c r="BU33" s="84">
        <f t="shared" si="36"/>
        <v>0.9</v>
      </c>
      <c r="BV33" s="84">
        <f t="shared" si="36"/>
        <v>0.9</v>
      </c>
      <c r="BW33" s="84">
        <f t="shared" si="36"/>
        <v>0.9</v>
      </c>
      <c r="BX33" s="84">
        <f t="shared" si="36"/>
        <v>0.9</v>
      </c>
      <c r="BY33" s="84">
        <f t="shared" si="36"/>
        <v>0.9</v>
      </c>
      <c r="BZ33" s="84">
        <f t="shared" si="36"/>
        <v>0.9</v>
      </c>
      <c r="CA33" s="84">
        <f t="shared" si="36"/>
        <v>0.89999999999999991</v>
      </c>
      <c r="CB33" s="84">
        <f t="shared" si="36"/>
        <v>0.89999999999999991</v>
      </c>
      <c r="CC33" s="84">
        <f t="shared" si="36"/>
        <v>0.89999999999999991</v>
      </c>
      <c r="CD33" s="84">
        <f t="shared" si="36"/>
        <v>0.89999999999999991</v>
      </c>
      <c r="CE33" s="84">
        <f t="shared" si="36"/>
        <v>0.89999999999999991</v>
      </c>
      <c r="CF33" s="84">
        <f t="shared" si="36"/>
        <v>0.89999999999999991</v>
      </c>
      <c r="CG33" s="84">
        <f t="shared" si="36"/>
        <v>0.89999999999999991</v>
      </c>
      <c r="CH33" s="84">
        <f t="shared" si="36"/>
        <v>0.89999999999999991</v>
      </c>
      <c r="CI33" s="84">
        <f t="shared" si="36"/>
        <v>0.89999999999999991</v>
      </c>
      <c r="CJ33" s="84">
        <f t="shared" si="36"/>
        <v>0.89999999999999991</v>
      </c>
      <c r="CK33" s="84">
        <f t="shared" si="36"/>
        <v>0.89999999999999991</v>
      </c>
      <c r="CL33" s="84">
        <f t="shared" si="36"/>
        <v>0.89999999999999991</v>
      </c>
      <c r="CM33" s="84">
        <f t="shared" si="36"/>
        <v>0.9</v>
      </c>
      <c r="CN33" s="84">
        <f t="shared" si="36"/>
        <v>0.9</v>
      </c>
      <c r="CO33" s="84">
        <f t="shared" si="36"/>
        <v>0.9</v>
      </c>
      <c r="CP33" s="84">
        <f t="shared" si="36"/>
        <v>0.9</v>
      </c>
      <c r="CQ33" s="84">
        <f t="shared" si="36"/>
        <v>0.9</v>
      </c>
      <c r="CR33" s="84">
        <f t="shared" si="36"/>
        <v>0.9</v>
      </c>
      <c r="CS33" s="84">
        <f t="shared" si="36"/>
        <v>0.9</v>
      </c>
      <c r="CT33" s="84">
        <f t="shared" si="36"/>
        <v>0.9</v>
      </c>
      <c r="CU33" s="84">
        <f t="shared" si="36"/>
        <v>0.9</v>
      </c>
      <c r="CV33" s="84">
        <f t="shared" si="36"/>
        <v>0.9</v>
      </c>
      <c r="CW33" s="84">
        <f t="shared" si="36"/>
        <v>0.9</v>
      </c>
      <c r="CX33" s="84">
        <f t="shared" si="36"/>
        <v>0.9</v>
      </c>
    </row>
    <row r="35" spans="2:102" ht="12.6" customHeight="1" x14ac:dyDescent="0.2">
      <c r="B35" s="33" t="s">
        <v>89</v>
      </c>
      <c r="E35" s="35"/>
    </row>
    <row r="36" spans="2:102" ht="12.6" customHeight="1" x14ac:dyDescent="0.2">
      <c r="B36" s="117" t="s">
        <v>38</v>
      </c>
      <c r="C36" s="34"/>
      <c r="D36" s="40">
        <f>Assumptions!L28</f>
        <v>-799318</v>
      </c>
      <c r="E36" s="31"/>
      <c r="G36" s="40">
        <f>(1+INDEX(Assumptions!$C$48:$M$48,MATCH('DCF Model'!G5,Assumptions!$C$38:$M$38))*(G$5&lt;&gt;F$5))*D36/12</f>
        <v>-68608.128333333341</v>
      </c>
      <c r="H36" s="40">
        <f>(1+INDEX(Assumptions!$C$48:$M$48,MATCH('DCF Model'!H5,Assumptions!$C$38:$M$38))*(H$5&lt;&gt;G$5))*G36</f>
        <v>-68608.128333333341</v>
      </c>
      <c r="I36" s="40">
        <f>(1+INDEX(Assumptions!$C$48:$M$48,MATCH('DCF Model'!I5,Assumptions!$C$38:$M$38))*(I$5&lt;&gt;H$5))*H36</f>
        <v>-68608.128333333341</v>
      </c>
      <c r="J36" s="40">
        <f>(1+INDEX(Assumptions!$C$48:$M$48,MATCH('DCF Model'!J5,Assumptions!$C$38:$M$38))*(J$5&lt;&gt;I$5))*I36</f>
        <v>-68608.128333333341</v>
      </c>
      <c r="K36" s="40">
        <f>(1+INDEX(Assumptions!$C$48:$M$48,MATCH('DCF Model'!K5,Assumptions!$C$38:$M$38))*(K$5&lt;&gt;J$5))*J36</f>
        <v>-68608.128333333341</v>
      </c>
      <c r="L36" s="40">
        <f>(1+INDEX(Assumptions!$C$48:$M$48,MATCH('DCF Model'!L5,Assumptions!$C$38:$M$38))*(L$5&lt;&gt;K$5))*K36</f>
        <v>-68608.128333333341</v>
      </c>
      <c r="M36" s="40">
        <f>(1+INDEX(Assumptions!$C$48:$M$48,MATCH('DCF Model'!M5,Assumptions!$C$38:$M$38))*(M$5&lt;&gt;L$5))*L36</f>
        <v>-68608.128333333341</v>
      </c>
      <c r="N36" s="40">
        <f>(1+INDEX(Assumptions!$C$48:$M$48,MATCH('DCF Model'!N5,Assumptions!$C$38:$M$38))*(N$5&lt;&gt;M$5))*M36</f>
        <v>-68608.128333333341</v>
      </c>
      <c r="O36" s="40">
        <f>(1+INDEX(Assumptions!$C$48:$M$48,MATCH('DCF Model'!O5,Assumptions!$C$38:$M$38))*(O$5&lt;&gt;N$5))*N36</f>
        <v>-68608.128333333341</v>
      </c>
      <c r="P36" s="40">
        <f>(1+INDEX(Assumptions!$C$48:$M$48,MATCH('DCF Model'!P5,Assumptions!$C$38:$M$38))*(P$5&lt;&gt;O$5))*O36</f>
        <v>-68608.128333333341</v>
      </c>
      <c r="Q36" s="40">
        <f>(1+INDEX(Assumptions!$C$48:$M$48,MATCH('DCF Model'!Q5,Assumptions!$C$38:$M$38))*(Q$5&lt;&gt;P$5))*P36</f>
        <v>-68608.128333333341</v>
      </c>
      <c r="R36" s="40">
        <f>(1+INDEX(Assumptions!$C$48:$M$48,MATCH('DCF Model'!R5,Assumptions!$C$38:$M$38))*(R$5&lt;&gt;Q$5))*Q36</f>
        <v>-68608.128333333341</v>
      </c>
      <c r="S36" s="40">
        <f>(1+INDEX(Assumptions!$C$48:$M$48,MATCH('DCF Model'!S5,Assumptions!$C$38:$M$38))*(S$5&lt;&gt;R$5))*R36</f>
        <v>-70666.37218333334</v>
      </c>
      <c r="T36" s="40">
        <f>(1+INDEX(Assumptions!$C$48:$M$48,MATCH('DCF Model'!T5,Assumptions!$C$38:$M$38))*(T$5&lt;&gt;S$5))*S36</f>
        <v>-70666.37218333334</v>
      </c>
      <c r="U36" s="40">
        <f>(1+INDEX(Assumptions!$C$48:$M$48,MATCH('DCF Model'!U5,Assumptions!$C$38:$M$38))*(U$5&lt;&gt;T$5))*T36</f>
        <v>-70666.37218333334</v>
      </c>
      <c r="V36" s="40">
        <f>(1+INDEX(Assumptions!$C$48:$M$48,MATCH('DCF Model'!V5,Assumptions!$C$38:$M$38))*(V$5&lt;&gt;U$5))*U36</f>
        <v>-70666.37218333334</v>
      </c>
      <c r="W36" s="40">
        <f>(1+INDEX(Assumptions!$C$48:$M$48,MATCH('DCF Model'!W5,Assumptions!$C$38:$M$38))*(W$5&lt;&gt;V$5))*V36</f>
        <v>-70666.37218333334</v>
      </c>
      <c r="X36" s="40">
        <f>(1+INDEX(Assumptions!$C$48:$M$48,MATCH('DCF Model'!X5,Assumptions!$C$38:$M$38))*(X$5&lt;&gt;W$5))*W36</f>
        <v>-70666.37218333334</v>
      </c>
      <c r="Y36" s="40">
        <f>(1+INDEX(Assumptions!$C$48:$M$48,MATCH('DCF Model'!Y5,Assumptions!$C$38:$M$38))*(Y$5&lt;&gt;X$5))*X36</f>
        <v>-70666.37218333334</v>
      </c>
      <c r="Z36" s="40">
        <f>(1+INDEX(Assumptions!$C$48:$M$48,MATCH('DCF Model'!Z5,Assumptions!$C$38:$M$38))*(Z$5&lt;&gt;Y$5))*Y36</f>
        <v>-70666.37218333334</v>
      </c>
      <c r="AA36" s="40">
        <f>(1+INDEX(Assumptions!$C$48:$M$48,MATCH('DCF Model'!AA5,Assumptions!$C$38:$M$38))*(AA$5&lt;&gt;Z$5))*Z36</f>
        <v>-70666.37218333334</v>
      </c>
      <c r="AB36" s="40">
        <f>(1+INDEX(Assumptions!$C$48:$M$48,MATCH('DCF Model'!AB5,Assumptions!$C$38:$M$38))*(AB$5&lt;&gt;AA$5))*AA36</f>
        <v>-70666.37218333334</v>
      </c>
      <c r="AC36" s="40">
        <f>(1+INDEX(Assumptions!$C$48:$M$48,MATCH('DCF Model'!AC5,Assumptions!$C$38:$M$38))*(AC$5&lt;&gt;AB$5))*AB36</f>
        <v>-70666.37218333334</v>
      </c>
      <c r="AD36" s="40">
        <f>(1+INDEX(Assumptions!$C$48:$M$48,MATCH('DCF Model'!AD5,Assumptions!$C$38:$M$38))*(AD$5&lt;&gt;AC$5))*AC36</f>
        <v>-70666.37218333334</v>
      </c>
      <c r="AE36" s="40">
        <f>(1+INDEX(Assumptions!$C$48:$M$48,MATCH('DCF Model'!AE5,Assumptions!$C$38:$M$38))*(AE$5&lt;&gt;AD$5))*AD36</f>
        <v>-72786.363348833343</v>
      </c>
      <c r="AF36" s="40">
        <f>(1+INDEX(Assumptions!$C$48:$M$48,MATCH('DCF Model'!AF5,Assumptions!$C$38:$M$38))*(AF$5&lt;&gt;AE$5))*AE36</f>
        <v>-72786.363348833343</v>
      </c>
      <c r="AG36" s="40">
        <f>(1+INDEX(Assumptions!$C$48:$M$48,MATCH('DCF Model'!AG5,Assumptions!$C$38:$M$38))*(AG$5&lt;&gt;AF$5))*AF36</f>
        <v>-72786.363348833343</v>
      </c>
      <c r="AH36" s="40">
        <f>(1+INDEX(Assumptions!$C$48:$M$48,MATCH('DCF Model'!AH5,Assumptions!$C$38:$M$38))*(AH$5&lt;&gt;AG$5))*AG36</f>
        <v>-72786.363348833343</v>
      </c>
      <c r="AI36" s="40">
        <f>(1+INDEX(Assumptions!$C$48:$M$48,MATCH('DCF Model'!AI5,Assumptions!$C$38:$M$38))*(AI$5&lt;&gt;AH$5))*AH36</f>
        <v>-72786.363348833343</v>
      </c>
      <c r="AJ36" s="40">
        <f>(1+INDEX(Assumptions!$C$48:$M$48,MATCH('DCF Model'!AJ5,Assumptions!$C$38:$M$38))*(AJ$5&lt;&gt;AI$5))*AI36</f>
        <v>-72786.363348833343</v>
      </c>
      <c r="AK36" s="40">
        <f>(1+INDEX(Assumptions!$C$48:$M$48,MATCH('DCF Model'!AK5,Assumptions!$C$38:$M$38))*(AK$5&lt;&gt;AJ$5))*AJ36</f>
        <v>-72786.363348833343</v>
      </c>
      <c r="AL36" s="40">
        <f>(1+INDEX(Assumptions!$C$48:$M$48,MATCH('DCF Model'!AL5,Assumptions!$C$38:$M$38))*(AL$5&lt;&gt;AK$5))*AK36</f>
        <v>-72786.363348833343</v>
      </c>
      <c r="AM36" s="40">
        <f>(1+INDEX(Assumptions!$C$48:$M$48,MATCH('DCF Model'!AM5,Assumptions!$C$38:$M$38))*(AM$5&lt;&gt;AL$5))*AL36</f>
        <v>-72786.363348833343</v>
      </c>
      <c r="AN36" s="40">
        <f>(1+INDEX(Assumptions!$C$48:$M$48,MATCH('DCF Model'!AN5,Assumptions!$C$38:$M$38))*(AN$5&lt;&gt;AM$5))*AM36</f>
        <v>-72786.363348833343</v>
      </c>
      <c r="AO36" s="40">
        <f>(1+INDEX(Assumptions!$C$48:$M$48,MATCH('DCF Model'!AO5,Assumptions!$C$38:$M$38))*(AO$5&lt;&gt;AN$5))*AN36</f>
        <v>-72786.363348833343</v>
      </c>
      <c r="AP36" s="40">
        <f>(1+INDEX(Assumptions!$C$48:$M$48,MATCH('DCF Model'!AP5,Assumptions!$C$38:$M$38))*(AP$5&lt;&gt;AO$5))*AO36</f>
        <v>-72786.363348833343</v>
      </c>
      <c r="AQ36" s="40">
        <f>(1+INDEX(Assumptions!$C$48:$M$48,MATCH('DCF Model'!AQ5,Assumptions!$C$38:$M$38))*(AQ$5&lt;&gt;AP$5))*AP36</f>
        <v>-74969.954249298346</v>
      </c>
      <c r="AR36" s="40">
        <f>(1+INDEX(Assumptions!$C$48:$M$48,MATCH('DCF Model'!AR5,Assumptions!$C$38:$M$38))*(AR$5&lt;&gt;AQ$5))*AQ36</f>
        <v>-74969.954249298346</v>
      </c>
      <c r="AS36" s="40">
        <f>(1+INDEX(Assumptions!$C$48:$M$48,MATCH('DCF Model'!AS5,Assumptions!$C$38:$M$38))*(AS$5&lt;&gt;AR$5))*AR36</f>
        <v>-74969.954249298346</v>
      </c>
      <c r="AT36" s="40">
        <f>(1+INDEX(Assumptions!$C$48:$M$48,MATCH('DCF Model'!AT5,Assumptions!$C$38:$M$38))*(AT$5&lt;&gt;AS$5))*AS36</f>
        <v>-74969.954249298346</v>
      </c>
      <c r="AU36" s="40">
        <f>(1+INDEX(Assumptions!$C$48:$M$48,MATCH('DCF Model'!AU5,Assumptions!$C$38:$M$38))*(AU$5&lt;&gt;AT$5))*AT36</f>
        <v>-74969.954249298346</v>
      </c>
      <c r="AV36" s="40">
        <f>(1+INDEX(Assumptions!$C$48:$M$48,MATCH('DCF Model'!AV5,Assumptions!$C$38:$M$38))*(AV$5&lt;&gt;AU$5))*AU36</f>
        <v>-74969.954249298346</v>
      </c>
      <c r="AW36" s="40">
        <f>(1+INDEX(Assumptions!$C$48:$M$48,MATCH('DCF Model'!AW5,Assumptions!$C$38:$M$38))*(AW$5&lt;&gt;AV$5))*AV36</f>
        <v>-74969.954249298346</v>
      </c>
      <c r="AX36" s="40">
        <f>(1+INDEX(Assumptions!$C$48:$M$48,MATCH('DCF Model'!AX5,Assumptions!$C$38:$M$38))*(AX$5&lt;&gt;AW$5))*AW36</f>
        <v>-74969.954249298346</v>
      </c>
      <c r="AY36" s="40">
        <f>(1+INDEX(Assumptions!$C$48:$M$48,MATCH('DCF Model'!AY5,Assumptions!$C$38:$M$38))*(AY$5&lt;&gt;AX$5))*AX36</f>
        <v>-74969.954249298346</v>
      </c>
      <c r="AZ36" s="40">
        <f>(1+INDEX(Assumptions!$C$48:$M$48,MATCH('DCF Model'!AZ5,Assumptions!$C$38:$M$38))*(AZ$5&lt;&gt;AY$5))*AY36</f>
        <v>-74969.954249298346</v>
      </c>
      <c r="BA36" s="40">
        <f>(1+INDEX(Assumptions!$C$48:$M$48,MATCH('DCF Model'!BA5,Assumptions!$C$38:$M$38))*(BA$5&lt;&gt;AZ$5))*AZ36</f>
        <v>-74969.954249298346</v>
      </c>
      <c r="BB36" s="40">
        <f>(1+INDEX(Assumptions!$C$48:$M$48,MATCH('DCF Model'!BB5,Assumptions!$C$38:$M$38))*(BB$5&lt;&gt;BA$5))*BA36</f>
        <v>-74969.954249298346</v>
      </c>
      <c r="BC36" s="40">
        <f>(1+INDEX(Assumptions!$C$48:$M$48,MATCH('DCF Model'!BC5,Assumptions!$C$38:$M$38))*(BC$5&lt;&gt;BB$5))*BB36</f>
        <v>-77219.052876777292</v>
      </c>
      <c r="BD36" s="40">
        <f>(1+INDEX(Assumptions!$C$48:$M$48,MATCH('DCF Model'!BD5,Assumptions!$C$38:$M$38))*(BD$5&lt;&gt;BC$5))*BC36</f>
        <v>-77219.052876777292</v>
      </c>
      <c r="BE36" s="40">
        <f>(1+INDEX(Assumptions!$C$48:$M$48,MATCH('DCF Model'!BE5,Assumptions!$C$38:$M$38))*(BE$5&lt;&gt;BD$5))*BD36</f>
        <v>-77219.052876777292</v>
      </c>
      <c r="BF36" s="40">
        <f>(1+INDEX(Assumptions!$C$48:$M$48,MATCH('DCF Model'!BF5,Assumptions!$C$38:$M$38))*(BF$5&lt;&gt;BE$5))*BE36</f>
        <v>-77219.052876777292</v>
      </c>
      <c r="BG36" s="40">
        <f>(1+INDEX(Assumptions!$C$48:$M$48,MATCH('DCF Model'!BG5,Assumptions!$C$38:$M$38))*(BG$5&lt;&gt;BF$5))*BF36</f>
        <v>-77219.052876777292</v>
      </c>
      <c r="BH36" s="40">
        <f>(1+INDEX(Assumptions!$C$48:$M$48,MATCH('DCF Model'!BH5,Assumptions!$C$38:$M$38))*(BH$5&lt;&gt;BG$5))*BG36</f>
        <v>-77219.052876777292</v>
      </c>
      <c r="BI36" s="40">
        <f>(1+INDEX(Assumptions!$C$48:$M$48,MATCH('DCF Model'!BI5,Assumptions!$C$38:$M$38))*(BI$5&lt;&gt;BH$5))*BH36</f>
        <v>-77219.052876777292</v>
      </c>
      <c r="BJ36" s="40">
        <f>(1+INDEX(Assumptions!$C$48:$M$48,MATCH('DCF Model'!BJ5,Assumptions!$C$38:$M$38))*(BJ$5&lt;&gt;BI$5))*BI36</f>
        <v>-77219.052876777292</v>
      </c>
      <c r="BK36" s="40">
        <f>(1+INDEX(Assumptions!$C$48:$M$48,MATCH('DCF Model'!BK5,Assumptions!$C$38:$M$38))*(BK$5&lt;&gt;BJ$5))*BJ36</f>
        <v>-77219.052876777292</v>
      </c>
      <c r="BL36" s="40">
        <f>(1+INDEX(Assumptions!$C$48:$M$48,MATCH('DCF Model'!BL5,Assumptions!$C$38:$M$38))*(BL$5&lt;&gt;BK$5))*BK36</f>
        <v>-77219.052876777292</v>
      </c>
      <c r="BM36" s="40">
        <f>(1+INDEX(Assumptions!$C$48:$M$48,MATCH('DCF Model'!BM5,Assumptions!$C$38:$M$38))*(BM$5&lt;&gt;BL$5))*BL36</f>
        <v>-77219.052876777292</v>
      </c>
      <c r="BN36" s="40">
        <f>(1+INDEX(Assumptions!$C$48:$M$48,MATCH('DCF Model'!BN5,Assumptions!$C$38:$M$38))*(BN$5&lt;&gt;BM$5))*BM36</f>
        <v>-77219.052876777292</v>
      </c>
      <c r="BO36" s="40">
        <f>(1+INDEX(Assumptions!$C$48:$M$48,MATCH('DCF Model'!BO5,Assumptions!$C$38:$M$38))*(BO$5&lt;&gt;BN$5))*BN36</f>
        <v>-79535.624463080618</v>
      </c>
      <c r="BP36" s="40">
        <f>(1+INDEX(Assumptions!$C$48:$M$48,MATCH('DCF Model'!BP5,Assumptions!$C$38:$M$38))*(BP$5&lt;&gt;BO$5))*BO36</f>
        <v>-79535.624463080618</v>
      </c>
      <c r="BQ36" s="40">
        <f>(1+INDEX(Assumptions!$C$48:$M$48,MATCH('DCF Model'!BQ5,Assumptions!$C$38:$M$38))*(BQ$5&lt;&gt;BP$5))*BP36</f>
        <v>-79535.624463080618</v>
      </c>
      <c r="BR36" s="40">
        <f>(1+INDEX(Assumptions!$C$48:$M$48,MATCH('DCF Model'!BR5,Assumptions!$C$38:$M$38))*(BR$5&lt;&gt;BQ$5))*BQ36</f>
        <v>-79535.624463080618</v>
      </c>
      <c r="BS36" s="40">
        <f>(1+INDEX(Assumptions!$C$48:$M$48,MATCH('DCF Model'!BS5,Assumptions!$C$38:$M$38))*(BS$5&lt;&gt;BR$5))*BR36</f>
        <v>-79535.624463080618</v>
      </c>
      <c r="BT36" s="40">
        <f>(1+INDEX(Assumptions!$C$48:$M$48,MATCH('DCF Model'!BT5,Assumptions!$C$38:$M$38))*(BT$5&lt;&gt;BS$5))*BS36</f>
        <v>-79535.624463080618</v>
      </c>
      <c r="BU36" s="40">
        <f>(1+INDEX(Assumptions!$C$48:$M$48,MATCH('DCF Model'!BU5,Assumptions!$C$38:$M$38))*(BU$5&lt;&gt;BT$5))*BT36</f>
        <v>-79535.624463080618</v>
      </c>
      <c r="BV36" s="40">
        <f>(1+INDEX(Assumptions!$C$48:$M$48,MATCH('DCF Model'!BV5,Assumptions!$C$38:$M$38))*(BV$5&lt;&gt;BU$5))*BU36</f>
        <v>-79535.624463080618</v>
      </c>
      <c r="BW36" s="40">
        <f>(1+INDEX(Assumptions!$C$48:$M$48,MATCH('DCF Model'!BW5,Assumptions!$C$38:$M$38))*(BW$5&lt;&gt;BV$5))*BV36</f>
        <v>-79535.624463080618</v>
      </c>
      <c r="BX36" s="40">
        <f>(1+INDEX(Assumptions!$C$48:$M$48,MATCH('DCF Model'!BX5,Assumptions!$C$38:$M$38))*(BX$5&lt;&gt;BW$5))*BW36</f>
        <v>-79535.624463080618</v>
      </c>
      <c r="BY36" s="40">
        <f>(1+INDEX(Assumptions!$C$48:$M$48,MATCH('DCF Model'!BY5,Assumptions!$C$38:$M$38))*(BY$5&lt;&gt;BX$5))*BX36</f>
        <v>-79535.624463080618</v>
      </c>
      <c r="BZ36" s="40">
        <f>(1+INDEX(Assumptions!$C$48:$M$48,MATCH('DCF Model'!BZ5,Assumptions!$C$38:$M$38))*(BZ$5&lt;&gt;BY$5))*BY36</f>
        <v>-79535.624463080618</v>
      </c>
      <c r="CA36" s="40">
        <f>(1+INDEX(Assumptions!$C$48:$M$48,MATCH('DCF Model'!CA5,Assumptions!$C$38:$M$38))*(CA$5&lt;&gt;BZ$5))*BZ36</f>
        <v>-81921.693196973036</v>
      </c>
      <c r="CB36" s="40">
        <f>(1+INDEX(Assumptions!$C$48:$M$48,MATCH('DCF Model'!CB5,Assumptions!$C$38:$M$38))*(CB$5&lt;&gt;CA$5))*CA36</f>
        <v>-81921.693196973036</v>
      </c>
      <c r="CC36" s="40">
        <f>(1+INDEX(Assumptions!$C$48:$M$48,MATCH('DCF Model'!CC5,Assumptions!$C$38:$M$38))*(CC$5&lt;&gt;CB$5))*CB36</f>
        <v>-81921.693196973036</v>
      </c>
      <c r="CD36" s="40">
        <f>(1+INDEX(Assumptions!$C$48:$M$48,MATCH('DCF Model'!CD5,Assumptions!$C$38:$M$38))*(CD$5&lt;&gt;CC$5))*CC36</f>
        <v>-81921.693196973036</v>
      </c>
      <c r="CE36" s="40">
        <f>(1+INDEX(Assumptions!$C$48:$M$48,MATCH('DCF Model'!CE5,Assumptions!$C$38:$M$38))*(CE$5&lt;&gt;CD$5))*CD36</f>
        <v>-81921.693196973036</v>
      </c>
      <c r="CF36" s="40">
        <f>(1+INDEX(Assumptions!$C$48:$M$48,MATCH('DCF Model'!CF5,Assumptions!$C$38:$M$38))*(CF$5&lt;&gt;CE$5))*CE36</f>
        <v>-81921.693196973036</v>
      </c>
      <c r="CG36" s="40">
        <f>(1+INDEX(Assumptions!$C$48:$M$48,MATCH('DCF Model'!CG5,Assumptions!$C$38:$M$38))*(CG$5&lt;&gt;CF$5))*CF36</f>
        <v>-81921.693196973036</v>
      </c>
      <c r="CH36" s="40">
        <f>(1+INDEX(Assumptions!$C$48:$M$48,MATCH('DCF Model'!CH5,Assumptions!$C$38:$M$38))*(CH$5&lt;&gt;CG$5))*CG36</f>
        <v>-81921.693196973036</v>
      </c>
      <c r="CI36" s="40">
        <f>(1+INDEX(Assumptions!$C$48:$M$48,MATCH('DCF Model'!CI5,Assumptions!$C$38:$M$38))*(CI$5&lt;&gt;CH$5))*CH36</f>
        <v>-81921.693196973036</v>
      </c>
      <c r="CJ36" s="40">
        <f>(1+INDEX(Assumptions!$C$48:$M$48,MATCH('DCF Model'!CJ5,Assumptions!$C$38:$M$38))*(CJ$5&lt;&gt;CI$5))*CI36</f>
        <v>-81921.693196973036</v>
      </c>
      <c r="CK36" s="40">
        <f>(1+INDEX(Assumptions!$C$48:$M$48,MATCH('DCF Model'!CK5,Assumptions!$C$38:$M$38))*(CK$5&lt;&gt;CJ$5))*CJ36</f>
        <v>-81921.693196973036</v>
      </c>
      <c r="CL36" s="40">
        <f>(1+INDEX(Assumptions!$C$48:$M$48,MATCH('DCF Model'!CL5,Assumptions!$C$38:$M$38))*(CL$5&lt;&gt;CK$5))*CK36</f>
        <v>-81921.693196973036</v>
      </c>
      <c r="CM36" s="119">
        <f>(1+INDEX(Assumptions!$C$48:$M$48,MATCH('DCF Model'!CM5,Assumptions!$C$38:$M$38))*(CM$5&lt;&gt;CL$5))*CL36</f>
        <v>-84379.343992882234</v>
      </c>
      <c r="CN36" s="119">
        <f>(1+INDEX(Assumptions!$C$48:$M$48,MATCH('DCF Model'!CN5,Assumptions!$C$38:$M$38))*(CN$5&lt;&gt;CM$5))*CM36</f>
        <v>-84379.343992882234</v>
      </c>
      <c r="CO36" s="119">
        <f>(1+INDEX(Assumptions!$C$48:$M$48,MATCH('DCF Model'!CO5,Assumptions!$C$38:$M$38))*(CO$5&lt;&gt;CN$5))*CN36</f>
        <v>-84379.343992882234</v>
      </c>
      <c r="CP36" s="119">
        <f>(1+INDEX(Assumptions!$C$48:$M$48,MATCH('DCF Model'!CP5,Assumptions!$C$38:$M$38))*(CP$5&lt;&gt;CO$5))*CO36</f>
        <v>-84379.343992882234</v>
      </c>
      <c r="CQ36" s="119">
        <f>(1+INDEX(Assumptions!$C$48:$M$48,MATCH('DCF Model'!CQ5,Assumptions!$C$38:$M$38))*(CQ$5&lt;&gt;CP$5))*CP36</f>
        <v>-84379.343992882234</v>
      </c>
      <c r="CR36" s="119">
        <f>(1+INDEX(Assumptions!$C$48:$M$48,MATCH('DCF Model'!CR5,Assumptions!$C$38:$M$38))*(CR$5&lt;&gt;CQ$5))*CQ36</f>
        <v>-84379.343992882234</v>
      </c>
      <c r="CS36" s="119">
        <f>(1+INDEX(Assumptions!$C$48:$M$48,MATCH('DCF Model'!CS5,Assumptions!$C$38:$M$38))*(CS$5&lt;&gt;CR$5))*CR36</f>
        <v>-84379.343992882234</v>
      </c>
      <c r="CT36" s="119">
        <f>(1+INDEX(Assumptions!$C$48:$M$48,MATCH('DCF Model'!CT5,Assumptions!$C$38:$M$38))*(CT$5&lt;&gt;CS$5))*CS36</f>
        <v>-84379.343992882234</v>
      </c>
      <c r="CU36" s="119">
        <f>(1+INDEX(Assumptions!$C$48:$M$48,MATCH('DCF Model'!CU5,Assumptions!$C$38:$M$38))*(CU$5&lt;&gt;CT$5))*CT36</f>
        <v>-84379.343992882234</v>
      </c>
      <c r="CV36" s="119">
        <f>(1+INDEX(Assumptions!$C$48:$M$48,MATCH('DCF Model'!CV5,Assumptions!$C$38:$M$38))*(CV$5&lt;&gt;CU$5))*CU36</f>
        <v>-84379.343992882234</v>
      </c>
      <c r="CW36" s="119">
        <f>(1+INDEX(Assumptions!$C$48:$M$48,MATCH('DCF Model'!CW5,Assumptions!$C$38:$M$38))*(CW$5&lt;&gt;CV$5))*CV36</f>
        <v>-84379.343992882234</v>
      </c>
      <c r="CX36" s="119">
        <f>(1+INDEX(Assumptions!$C$48:$M$48,MATCH('DCF Model'!CX5,Assumptions!$C$38:$M$38))*(CX$5&lt;&gt;CW$5))*CW36</f>
        <v>-84379.343992882234</v>
      </c>
    </row>
    <row r="37" spans="2:102" ht="12.6" customHeight="1" x14ac:dyDescent="0.2">
      <c r="B37" s="117" t="s">
        <v>41</v>
      </c>
      <c r="C37" s="34"/>
      <c r="D37" s="40">
        <f>Assumptions!L29</f>
        <v>-125785</v>
      </c>
      <c r="E37" s="31"/>
      <c r="G37" s="40">
        <f>(1+INDEX(Assumptions!$C$49:$M$49,MATCH('DCF Model'!G5,Assumptions!$C$38:$M$38))*(G$5&lt;&gt;F$5))*D37/12</f>
        <v>-10796.545833333334</v>
      </c>
      <c r="H37" s="40">
        <f>(1+INDEX(Assumptions!$C$49:$M$49,MATCH('DCF Model'!H5,Assumptions!$C$38:$M$38))*(H$5&lt;&gt;G$5))*G37</f>
        <v>-10796.545833333334</v>
      </c>
      <c r="I37" s="40">
        <f>(1+INDEX(Assumptions!$C$49:$M$49,MATCH('DCF Model'!I5,Assumptions!$C$38:$M$38))*(I$5&lt;&gt;H$5))*H37</f>
        <v>-10796.545833333334</v>
      </c>
      <c r="J37" s="40">
        <f>(1+INDEX(Assumptions!$C$49:$M$49,MATCH('DCF Model'!J5,Assumptions!$C$38:$M$38))*(J$5&lt;&gt;I$5))*I37</f>
        <v>-10796.545833333334</v>
      </c>
      <c r="K37" s="40">
        <f>(1+INDEX(Assumptions!$C$49:$M$49,MATCH('DCF Model'!K5,Assumptions!$C$38:$M$38))*(K$5&lt;&gt;J$5))*J37</f>
        <v>-10796.545833333334</v>
      </c>
      <c r="L37" s="40">
        <f>(1+INDEX(Assumptions!$C$49:$M$49,MATCH('DCF Model'!L5,Assumptions!$C$38:$M$38))*(L$5&lt;&gt;K$5))*K37</f>
        <v>-10796.545833333334</v>
      </c>
      <c r="M37" s="40">
        <f>(1+INDEX(Assumptions!$C$49:$M$49,MATCH('DCF Model'!M5,Assumptions!$C$38:$M$38))*(M$5&lt;&gt;L$5))*L37</f>
        <v>-10796.545833333334</v>
      </c>
      <c r="N37" s="40">
        <f>(1+INDEX(Assumptions!$C$49:$M$49,MATCH('DCF Model'!N5,Assumptions!$C$38:$M$38))*(N$5&lt;&gt;M$5))*M37</f>
        <v>-10796.545833333334</v>
      </c>
      <c r="O37" s="40">
        <f>(1+INDEX(Assumptions!$C$49:$M$49,MATCH('DCF Model'!O5,Assumptions!$C$38:$M$38))*(O$5&lt;&gt;N$5))*N37</f>
        <v>-10796.545833333334</v>
      </c>
      <c r="P37" s="40">
        <f>(1+INDEX(Assumptions!$C$49:$M$49,MATCH('DCF Model'!P5,Assumptions!$C$38:$M$38))*(P$5&lt;&gt;O$5))*O37</f>
        <v>-10796.545833333334</v>
      </c>
      <c r="Q37" s="40">
        <f>(1+INDEX(Assumptions!$C$49:$M$49,MATCH('DCF Model'!Q5,Assumptions!$C$38:$M$38))*(Q$5&lt;&gt;P$5))*P37</f>
        <v>-10796.545833333334</v>
      </c>
      <c r="R37" s="40">
        <f>(1+INDEX(Assumptions!$C$49:$M$49,MATCH('DCF Model'!R5,Assumptions!$C$38:$M$38))*(R$5&lt;&gt;Q$5))*Q37</f>
        <v>-10796.545833333334</v>
      </c>
      <c r="S37" s="40">
        <f>(1+INDEX(Assumptions!$C$49:$M$49,MATCH('DCF Model'!S5,Assumptions!$C$38:$M$38))*(S$5&lt;&gt;R$5))*R37</f>
        <v>-11120.442208333334</v>
      </c>
      <c r="T37" s="40">
        <f>(1+INDEX(Assumptions!$C$49:$M$49,MATCH('DCF Model'!T5,Assumptions!$C$38:$M$38))*(T$5&lt;&gt;S$5))*S37</f>
        <v>-11120.442208333334</v>
      </c>
      <c r="U37" s="40">
        <f>(1+INDEX(Assumptions!$C$49:$M$49,MATCH('DCF Model'!U5,Assumptions!$C$38:$M$38))*(U$5&lt;&gt;T$5))*T37</f>
        <v>-11120.442208333334</v>
      </c>
      <c r="V37" s="40">
        <f>(1+INDEX(Assumptions!$C$49:$M$49,MATCH('DCF Model'!V5,Assumptions!$C$38:$M$38))*(V$5&lt;&gt;U$5))*U37</f>
        <v>-11120.442208333334</v>
      </c>
      <c r="W37" s="40">
        <f>(1+INDEX(Assumptions!$C$49:$M$49,MATCH('DCF Model'!W5,Assumptions!$C$38:$M$38))*(W$5&lt;&gt;V$5))*V37</f>
        <v>-11120.442208333334</v>
      </c>
      <c r="X37" s="40">
        <f>(1+INDEX(Assumptions!$C$49:$M$49,MATCH('DCF Model'!X5,Assumptions!$C$38:$M$38))*(X$5&lt;&gt;W$5))*W37</f>
        <v>-11120.442208333334</v>
      </c>
      <c r="Y37" s="40">
        <f>(1+INDEX(Assumptions!$C$49:$M$49,MATCH('DCF Model'!Y5,Assumptions!$C$38:$M$38))*(Y$5&lt;&gt;X$5))*X37</f>
        <v>-11120.442208333334</v>
      </c>
      <c r="Z37" s="40">
        <f>(1+INDEX(Assumptions!$C$49:$M$49,MATCH('DCF Model'!Z5,Assumptions!$C$38:$M$38))*(Z$5&lt;&gt;Y$5))*Y37</f>
        <v>-11120.442208333334</v>
      </c>
      <c r="AA37" s="40">
        <f>(1+INDEX(Assumptions!$C$49:$M$49,MATCH('DCF Model'!AA5,Assumptions!$C$38:$M$38))*(AA$5&lt;&gt;Z$5))*Z37</f>
        <v>-11120.442208333334</v>
      </c>
      <c r="AB37" s="40">
        <f>(1+INDEX(Assumptions!$C$49:$M$49,MATCH('DCF Model'!AB5,Assumptions!$C$38:$M$38))*(AB$5&lt;&gt;AA$5))*AA37</f>
        <v>-11120.442208333334</v>
      </c>
      <c r="AC37" s="40">
        <f>(1+INDEX(Assumptions!$C$49:$M$49,MATCH('DCF Model'!AC5,Assumptions!$C$38:$M$38))*(AC$5&lt;&gt;AB$5))*AB37</f>
        <v>-11120.442208333334</v>
      </c>
      <c r="AD37" s="40">
        <f>(1+INDEX(Assumptions!$C$49:$M$49,MATCH('DCF Model'!AD5,Assumptions!$C$38:$M$38))*(AD$5&lt;&gt;AC$5))*AC37</f>
        <v>-11120.442208333334</v>
      </c>
      <c r="AE37" s="40">
        <f>(1+INDEX(Assumptions!$C$49:$M$49,MATCH('DCF Model'!AE5,Assumptions!$C$38:$M$38))*(AE$5&lt;&gt;AD$5))*AD37</f>
        <v>-11454.055474583334</v>
      </c>
      <c r="AF37" s="40">
        <f>(1+INDEX(Assumptions!$C$49:$M$49,MATCH('DCF Model'!AF5,Assumptions!$C$38:$M$38))*(AF$5&lt;&gt;AE$5))*AE37</f>
        <v>-11454.055474583334</v>
      </c>
      <c r="AG37" s="40">
        <f>(1+INDEX(Assumptions!$C$49:$M$49,MATCH('DCF Model'!AG5,Assumptions!$C$38:$M$38))*(AG$5&lt;&gt;AF$5))*AF37</f>
        <v>-11454.055474583334</v>
      </c>
      <c r="AH37" s="40">
        <f>(1+INDEX(Assumptions!$C$49:$M$49,MATCH('DCF Model'!AH5,Assumptions!$C$38:$M$38))*(AH$5&lt;&gt;AG$5))*AG37</f>
        <v>-11454.055474583334</v>
      </c>
      <c r="AI37" s="40">
        <f>(1+INDEX(Assumptions!$C$49:$M$49,MATCH('DCF Model'!AI5,Assumptions!$C$38:$M$38))*(AI$5&lt;&gt;AH$5))*AH37</f>
        <v>-11454.055474583334</v>
      </c>
      <c r="AJ37" s="40">
        <f>(1+INDEX(Assumptions!$C$49:$M$49,MATCH('DCF Model'!AJ5,Assumptions!$C$38:$M$38))*(AJ$5&lt;&gt;AI$5))*AI37</f>
        <v>-11454.055474583334</v>
      </c>
      <c r="AK37" s="40">
        <f>(1+INDEX(Assumptions!$C$49:$M$49,MATCH('DCF Model'!AK5,Assumptions!$C$38:$M$38))*(AK$5&lt;&gt;AJ$5))*AJ37</f>
        <v>-11454.055474583334</v>
      </c>
      <c r="AL37" s="40">
        <f>(1+INDEX(Assumptions!$C$49:$M$49,MATCH('DCF Model'!AL5,Assumptions!$C$38:$M$38))*(AL$5&lt;&gt;AK$5))*AK37</f>
        <v>-11454.055474583334</v>
      </c>
      <c r="AM37" s="40">
        <f>(1+INDEX(Assumptions!$C$49:$M$49,MATCH('DCF Model'!AM5,Assumptions!$C$38:$M$38))*(AM$5&lt;&gt;AL$5))*AL37</f>
        <v>-11454.055474583334</v>
      </c>
      <c r="AN37" s="40">
        <f>(1+INDEX(Assumptions!$C$49:$M$49,MATCH('DCF Model'!AN5,Assumptions!$C$38:$M$38))*(AN$5&lt;&gt;AM$5))*AM37</f>
        <v>-11454.055474583334</v>
      </c>
      <c r="AO37" s="40">
        <f>(1+INDEX(Assumptions!$C$49:$M$49,MATCH('DCF Model'!AO5,Assumptions!$C$38:$M$38))*(AO$5&lt;&gt;AN$5))*AN37</f>
        <v>-11454.055474583334</v>
      </c>
      <c r="AP37" s="40">
        <f>(1+INDEX(Assumptions!$C$49:$M$49,MATCH('DCF Model'!AP5,Assumptions!$C$38:$M$38))*(AP$5&lt;&gt;AO$5))*AO37</f>
        <v>-11454.055474583334</v>
      </c>
      <c r="AQ37" s="40">
        <f>(1+INDEX(Assumptions!$C$49:$M$49,MATCH('DCF Model'!AQ5,Assumptions!$C$38:$M$38))*(AQ$5&lt;&gt;AP$5))*AP37</f>
        <v>-11797.677138820834</v>
      </c>
      <c r="AR37" s="40">
        <f>(1+INDEX(Assumptions!$C$49:$M$49,MATCH('DCF Model'!AR5,Assumptions!$C$38:$M$38))*(AR$5&lt;&gt;AQ$5))*AQ37</f>
        <v>-11797.677138820834</v>
      </c>
      <c r="AS37" s="40">
        <f>(1+INDEX(Assumptions!$C$49:$M$49,MATCH('DCF Model'!AS5,Assumptions!$C$38:$M$38))*(AS$5&lt;&gt;AR$5))*AR37</f>
        <v>-11797.677138820834</v>
      </c>
      <c r="AT37" s="40">
        <f>(1+INDEX(Assumptions!$C$49:$M$49,MATCH('DCF Model'!AT5,Assumptions!$C$38:$M$38))*(AT$5&lt;&gt;AS$5))*AS37</f>
        <v>-11797.677138820834</v>
      </c>
      <c r="AU37" s="40">
        <f>(1+INDEX(Assumptions!$C$49:$M$49,MATCH('DCF Model'!AU5,Assumptions!$C$38:$M$38))*(AU$5&lt;&gt;AT$5))*AT37</f>
        <v>-11797.677138820834</v>
      </c>
      <c r="AV37" s="40">
        <f>(1+INDEX(Assumptions!$C$49:$M$49,MATCH('DCF Model'!AV5,Assumptions!$C$38:$M$38))*(AV$5&lt;&gt;AU$5))*AU37</f>
        <v>-11797.677138820834</v>
      </c>
      <c r="AW37" s="40">
        <f>(1+INDEX(Assumptions!$C$49:$M$49,MATCH('DCF Model'!AW5,Assumptions!$C$38:$M$38))*(AW$5&lt;&gt;AV$5))*AV37</f>
        <v>-11797.677138820834</v>
      </c>
      <c r="AX37" s="40">
        <f>(1+INDEX(Assumptions!$C$49:$M$49,MATCH('DCF Model'!AX5,Assumptions!$C$38:$M$38))*(AX$5&lt;&gt;AW$5))*AW37</f>
        <v>-11797.677138820834</v>
      </c>
      <c r="AY37" s="40">
        <f>(1+INDEX(Assumptions!$C$49:$M$49,MATCH('DCF Model'!AY5,Assumptions!$C$38:$M$38))*(AY$5&lt;&gt;AX$5))*AX37</f>
        <v>-11797.677138820834</v>
      </c>
      <c r="AZ37" s="40">
        <f>(1+INDEX(Assumptions!$C$49:$M$49,MATCH('DCF Model'!AZ5,Assumptions!$C$38:$M$38))*(AZ$5&lt;&gt;AY$5))*AY37</f>
        <v>-11797.677138820834</v>
      </c>
      <c r="BA37" s="40">
        <f>(1+INDEX(Assumptions!$C$49:$M$49,MATCH('DCF Model'!BA5,Assumptions!$C$38:$M$38))*(BA$5&lt;&gt;AZ$5))*AZ37</f>
        <v>-11797.677138820834</v>
      </c>
      <c r="BB37" s="40">
        <f>(1+INDEX(Assumptions!$C$49:$M$49,MATCH('DCF Model'!BB5,Assumptions!$C$38:$M$38))*(BB$5&lt;&gt;BA$5))*BA37</f>
        <v>-11797.677138820834</v>
      </c>
      <c r="BC37" s="40">
        <f>(1+INDEX(Assumptions!$C$49:$M$49,MATCH('DCF Model'!BC5,Assumptions!$C$38:$M$38))*(BC$5&lt;&gt;BB$5))*BB37</f>
        <v>-12151.60745298546</v>
      </c>
      <c r="BD37" s="40">
        <f>(1+INDEX(Assumptions!$C$49:$M$49,MATCH('DCF Model'!BD5,Assumptions!$C$38:$M$38))*(BD$5&lt;&gt;BC$5))*BC37</f>
        <v>-12151.60745298546</v>
      </c>
      <c r="BE37" s="40">
        <f>(1+INDEX(Assumptions!$C$49:$M$49,MATCH('DCF Model'!BE5,Assumptions!$C$38:$M$38))*(BE$5&lt;&gt;BD$5))*BD37</f>
        <v>-12151.60745298546</v>
      </c>
      <c r="BF37" s="40">
        <f>(1+INDEX(Assumptions!$C$49:$M$49,MATCH('DCF Model'!BF5,Assumptions!$C$38:$M$38))*(BF$5&lt;&gt;BE$5))*BE37</f>
        <v>-12151.60745298546</v>
      </c>
      <c r="BG37" s="40">
        <f>(1+INDEX(Assumptions!$C$49:$M$49,MATCH('DCF Model'!BG5,Assumptions!$C$38:$M$38))*(BG$5&lt;&gt;BF$5))*BF37</f>
        <v>-12151.60745298546</v>
      </c>
      <c r="BH37" s="40">
        <f>(1+INDEX(Assumptions!$C$49:$M$49,MATCH('DCF Model'!BH5,Assumptions!$C$38:$M$38))*(BH$5&lt;&gt;BG$5))*BG37</f>
        <v>-12151.60745298546</v>
      </c>
      <c r="BI37" s="40">
        <f>(1+INDEX(Assumptions!$C$49:$M$49,MATCH('DCF Model'!BI5,Assumptions!$C$38:$M$38))*(BI$5&lt;&gt;BH$5))*BH37</f>
        <v>-12151.60745298546</v>
      </c>
      <c r="BJ37" s="40">
        <f>(1+INDEX(Assumptions!$C$49:$M$49,MATCH('DCF Model'!BJ5,Assumptions!$C$38:$M$38))*(BJ$5&lt;&gt;BI$5))*BI37</f>
        <v>-12151.60745298546</v>
      </c>
      <c r="BK37" s="40">
        <f>(1+INDEX(Assumptions!$C$49:$M$49,MATCH('DCF Model'!BK5,Assumptions!$C$38:$M$38))*(BK$5&lt;&gt;BJ$5))*BJ37</f>
        <v>-12151.60745298546</v>
      </c>
      <c r="BL37" s="40">
        <f>(1+INDEX(Assumptions!$C$49:$M$49,MATCH('DCF Model'!BL5,Assumptions!$C$38:$M$38))*(BL$5&lt;&gt;BK$5))*BK37</f>
        <v>-12151.60745298546</v>
      </c>
      <c r="BM37" s="40">
        <f>(1+INDEX(Assumptions!$C$49:$M$49,MATCH('DCF Model'!BM5,Assumptions!$C$38:$M$38))*(BM$5&lt;&gt;BL$5))*BL37</f>
        <v>-12151.60745298546</v>
      </c>
      <c r="BN37" s="40">
        <f>(1+INDEX(Assumptions!$C$49:$M$49,MATCH('DCF Model'!BN5,Assumptions!$C$38:$M$38))*(BN$5&lt;&gt;BM$5))*BM37</f>
        <v>-12151.60745298546</v>
      </c>
      <c r="BO37" s="40">
        <f>(1+INDEX(Assumptions!$C$49:$M$49,MATCH('DCF Model'!BO5,Assumptions!$C$38:$M$38))*(BO$5&lt;&gt;BN$5))*BN37</f>
        <v>-12516.155676575023</v>
      </c>
      <c r="BP37" s="40">
        <f>(1+INDEX(Assumptions!$C$49:$M$49,MATCH('DCF Model'!BP5,Assumptions!$C$38:$M$38))*(BP$5&lt;&gt;BO$5))*BO37</f>
        <v>-12516.155676575023</v>
      </c>
      <c r="BQ37" s="40">
        <f>(1+INDEX(Assumptions!$C$49:$M$49,MATCH('DCF Model'!BQ5,Assumptions!$C$38:$M$38))*(BQ$5&lt;&gt;BP$5))*BP37</f>
        <v>-12516.155676575023</v>
      </c>
      <c r="BR37" s="40">
        <f>(1+INDEX(Assumptions!$C$49:$M$49,MATCH('DCF Model'!BR5,Assumptions!$C$38:$M$38))*(BR$5&lt;&gt;BQ$5))*BQ37</f>
        <v>-12516.155676575023</v>
      </c>
      <c r="BS37" s="40">
        <f>(1+INDEX(Assumptions!$C$49:$M$49,MATCH('DCF Model'!BS5,Assumptions!$C$38:$M$38))*(BS$5&lt;&gt;BR$5))*BR37</f>
        <v>-12516.155676575023</v>
      </c>
      <c r="BT37" s="40">
        <f>(1+INDEX(Assumptions!$C$49:$M$49,MATCH('DCF Model'!BT5,Assumptions!$C$38:$M$38))*(BT$5&lt;&gt;BS$5))*BS37</f>
        <v>-12516.155676575023</v>
      </c>
      <c r="BU37" s="40">
        <f>(1+INDEX(Assumptions!$C$49:$M$49,MATCH('DCF Model'!BU5,Assumptions!$C$38:$M$38))*(BU$5&lt;&gt;BT$5))*BT37</f>
        <v>-12516.155676575023</v>
      </c>
      <c r="BV37" s="40">
        <f>(1+INDEX(Assumptions!$C$49:$M$49,MATCH('DCF Model'!BV5,Assumptions!$C$38:$M$38))*(BV$5&lt;&gt;BU$5))*BU37</f>
        <v>-12516.155676575023</v>
      </c>
      <c r="BW37" s="40">
        <f>(1+INDEX(Assumptions!$C$49:$M$49,MATCH('DCF Model'!BW5,Assumptions!$C$38:$M$38))*(BW$5&lt;&gt;BV$5))*BV37</f>
        <v>-12516.155676575023</v>
      </c>
      <c r="BX37" s="40">
        <f>(1+INDEX(Assumptions!$C$49:$M$49,MATCH('DCF Model'!BX5,Assumptions!$C$38:$M$38))*(BX$5&lt;&gt;BW$5))*BW37</f>
        <v>-12516.155676575023</v>
      </c>
      <c r="BY37" s="40">
        <f>(1+INDEX(Assumptions!$C$49:$M$49,MATCH('DCF Model'!BY5,Assumptions!$C$38:$M$38))*(BY$5&lt;&gt;BX$5))*BX37</f>
        <v>-12516.155676575023</v>
      </c>
      <c r="BZ37" s="40">
        <f>(1+INDEX(Assumptions!$C$49:$M$49,MATCH('DCF Model'!BZ5,Assumptions!$C$38:$M$38))*(BZ$5&lt;&gt;BY$5))*BY37</f>
        <v>-12516.155676575023</v>
      </c>
      <c r="CA37" s="40">
        <f>(1+INDEX(Assumptions!$C$49:$M$49,MATCH('DCF Model'!CA5,Assumptions!$C$38:$M$38))*(CA$5&lt;&gt;BZ$5))*BZ37</f>
        <v>-12891.640346872275</v>
      </c>
      <c r="CB37" s="40">
        <f>(1+INDEX(Assumptions!$C$49:$M$49,MATCH('DCF Model'!CB5,Assumptions!$C$38:$M$38))*(CB$5&lt;&gt;CA$5))*CA37</f>
        <v>-12891.640346872275</v>
      </c>
      <c r="CC37" s="40">
        <f>(1+INDEX(Assumptions!$C$49:$M$49,MATCH('DCF Model'!CC5,Assumptions!$C$38:$M$38))*(CC$5&lt;&gt;CB$5))*CB37</f>
        <v>-12891.640346872275</v>
      </c>
      <c r="CD37" s="40">
        <f>(1+INDEX(Assumptions!$C$49:$M$49,MATCH('DCF Model'!CD5,Assumptions!$C$38:$M$38))*(CD$5&lt;&gt;CC$5))*CC37</f>
        <v>-12891.640346872275</v>
      </c>
      <c r="CE37" s="40">
        <f>(1+INDEX(Assumptions!$C$49:$M$49,MATCH('DCF Model'!CE5,Assumptions!$C$38:$M$38))*(CE$5&lt;&gt;CD$5))*CD37</f>
        <v>-12891.640346872275</v>
      </c>
      <c r="CF37" s="40">
        <f>(1+INDEX(Assumptions!$C$49:$M$49,MATCH('DCF Model'!CF5,Assumptions!$C$38:$M$38))*(CF$5&lt;&gt;CE$5))*CE37</f>
        <v>-12891.640346872275</v>
      </c>
      <c r="CG37" s="40">
        <f>(1+INDEX(Assumptions!$C$49:$M$49,MATCH('DCF Model'!CG5,Assumptions!$C$38:$M$38))*(CG$5&lt;&gt;CF$5))*CF37</f>
        <v>-12891.640346872275</v>
      </c>
      <c r="CH37" s="40">
        <f>(1+INDEX(Assumptions!$C$49:$M$49,MATCH('DCF Model'!CH5,Assumptions!$C$38:$M$38))*(CH$5&lt;&gt;CG$5))*CG37</f>
        <v>-12891.640346872275</v>
      </c>
      <c r="CI37" s="40">
        <f>(1+INDEX(Assumptions!$C$49:$M$49,MATCH('DCF Model'!CI5,Assumptions!$C$38:$M$38))*(CI$5&lt;&gt;CH$5))*CH37</f>
        <v>-12891.640346872275</v>
      </c>
      <c r="CJ37" s="40">
        <f>(1+INDEX(Assumptions!$C$49:$M$49,MATCH('DCF Model'!CJ5,Assumptions!$C$38:$M$38))*(CJ$5&lt;&gt;CI$5))*CI37</f>
        <v>-12891.640346872275</v>
      </c>
      <c r="CK37" s="40">
        <f>(1+INDEX(Assumptions!$C$49:$M$49,MATCH('DCF Model'!CK5,Assumptions!$C$38:$M$38))*(CK$5&lt;&gt;CJ$5))*CJ37</f>
        <v>-12891.640346872275</v>
      </c>
      <c r="CL37" s="40">
        <f>(1+INDEX(Assumptions!$C$49:$M$49,MATCH('DCF Model'!CL5,Assumptions!$C$38:$M$38))*(CL$5&lt;&gt;CK$5))*CK37</f>
        <v>-12891.640346872275</v>
      </c>
      <c r="CM37" s="119">
        <f>(1+INDEX(Assumptions!$C$49:$M$49,MATCH('DCF Model'!CM5,Assumptions!$C$38:$M$38))*(CM$5&lt;&gt;CL$5))*CL37</f>
        <v>-13278.389557278444</v>
      </c>
      <c r="CN37" s="119">
        <f>(1+INDEX(Assumptions!$C$49:$M$49,MATCH('DCF Model'!CN5,Assumptions!$C$38:$M$38))*(CN$5&lt;&gt;CM$5))*CM37</f>
        <v>-13278.389557278444</v>
      </c>
      <c r="CO37" s="119">
        <f>(1+INDEX(Assumptions!$C$49:$M$49,MATCH('DCF Model'!CO5,Assumptions!$C$38:$M$38))*(CO$5&lt;&gt;CN$5))*CN37</f>
        <v>-13278.389557278444</v>
      </c>
      <c r="CP37" s="119">
        <f>(1+INDEX(Assumptions!$C$49:$M$49,MATCH('DCF Model'!CP5,Assumptions!$C$38:$M$38))*(CP$5&lt;&gt;CO$5))*CO37</f>
        <v>-13278.389557278444</v>
      </c>
      <c r="CQ37" s="119">
        <f>(1+INDEX(Assumptions!$C$49:$M$49,MATCH('DCF Model'!CQ5,Assumptions!$C$38:$M$38))*(CQ$5&lt;&gt;CP$5))*CP37</f>
        <v>-13278.389557278444</v>
      </c>
      <c r="CR37" s="119">
        <f>(1+INDEX(Assumptions!$C$49:$M$49,MATCH('DCF Model'!CR5,Assumptions!$C$38:$M$38))*(CR$5&lt;&gt;CQ$5))*CQ37</f>
        <v>-13278.389557278444</v>
      </c>
      <c r="CS37" s="119">
        <f>(1+INDEX(Assumptions!$C$49:$M$49,MATCH('DCF Model'!CS5,Assumptions!$C$38:$M$38))*(CS$5&lt;&gt;CR$5))*CR37</f>
        <v>-13278.389557278444</v>
      </c>
      <c r="CT37" s="119">
        <f>(1+INDEX(Assumptions!$C$49:$M$49,MATCH('DCF Model'!CT5,Assumptions!$C$38:$M$38))*(CT$5&lt;&gt;CS$5))*CS37</f>
        <v>-13278.389557278444</v>
      </c>
      <c r="CU37" s="119">
        <f>(1+INDEX(Assumptions!$C$49:$M$49,MATCH('DCF Model'!CU5,Assumptions!$C$38:$M$38))*(CU$5&lt;&gt;CT$5))*CT37</f>
        <v>-13278.389557278444</v>
      </c>
      <c r="CV37" s="119">
        <f>(1+INDEX(Assumptions!$C$49:$M$49,MATCH('DCF Model'!CV5,Assumptions!$C$38:$M$38))*(CV$5&lt;&gt;CU$5))*CU37</f>
        <v>-13278.389557278444</v>
      </c>
      <c r="CW37" s="119">
        <f>(1+INDEX(Assumptions!$C$49:$M$49,MATCH('DCF Model'!CW5,Assumptions!$C$38:$M$38))*(CW$5&lt;&gt;CV$5))*CV37</f>
        <v>-13278.389557278444</v>
      </c>
      <c r="CX37" s="119">
        <f>(1+INDEX(Assumptions!$C$49:$M$49,MATCH('DCF Model'!CX5,Assumptions!$C$38:$M$38))*(CX$5&lt;&gt;CW$5))*CW37</f>
        <v>-13278.389557278444</v>
      </c>
    </row>
    <row r="38" spans="2:102" ht="12.6" customHeight="1" x14ac:dyDescent="0.2">
      <c r="B38" s="117" t="s">
        <v>47</v>
      </c>
      <c r="C38" s="34"/>
      <c r="D38" s="40">
        <f>Assumptions!L31</f>
        <v>-927010</v>
      </c>
      <c r="E38" s="31"/>
      <c r="G38" s="40">
        <f>(1+INDEX(Assumptions!$C$50:$M$50,MATCH('DCF Model'!G5,Assumptions!$C$38:$M$38))*(G$5&lt;&gt;F$5))*D38/12</f>
        <v>-79568.358333333337</v>
      </c>
      <c r="H38" s="40">
        <f>(1+INDEX(Assumptions!$C$50:$M$50,MATCH('DCF Model'!H5,Assumptions!$C$38:$M$38))*(H$5&lt;&gt;G$5))*G38</f>
        <v>-79568.358333333337</v>
      </c>
      <c r="I38" s="40">
        <f>(1+INDEX(Assumptions!$C$50:$M$50,MATCH('DCF Model'!I5,Assumptions!$C$38:$M$38))*(I$5&lt;&gt;H$5))*H38</f>
        <v>-79568.358333333337</v>
      </c>
      <c r="J38" s="40">
        <f>(1+INDEX(Assumptions!$C$50:$M$50,MATCH('DCF Model'!J5,Assumptions!$C$38:$M$38))*(J$5&lt;&gt;I$5))*I38</f>
        <v>-79568.358333333337</v>
      </c>
      <c r="K38" s="40">
        <f>(1+INDEX(Assumptions!$C$50:$M$50,MATCH('DCF Model'!K5,Assumptions!$C$38:$M$38))*(K$5&lt;&gt;J$5))*J38</f>
        <v>-79568.358333333337</v>
      </c>
      <c r="L38" s="40">
        <f>(1+INDEX(Assumptions!$C$50:$M$50,MATCH('DCF Model'!L5,Assumptions!$C$38:$M$38))*(L$5&lt;&gt;K$5))*K38</f>
        <v>-79568.358333333337</v>
      </c>
      <c r="M38" s="40">
        <f>(1+INDEX(Assumptions!$C$50:$M$50,MATCH('DCF Model'!M5,Assumptions!$C$38:$M$38))*(M$5&lt;&gt;L$5))*L38</f>
        <v>-79568.358333333337</v>
      </c>
      <c r="N38" s="40">
        <f>(1+INDEX(Assumptions!$C$50:$M$50,MATCH('DCF Model'!N5,Assumptions!$C$38:$M$38))*(N$5&lt;&gt;M$5))*M38</f>
        <v>-79568.358333333337</v>
      </c>
      <c r="O38" s="40">
        <f>(1+INDEX(Assumptions!$C$50:$M$50,MATCH('DCF Model'!O5,Assumptions!$C$38:$M$38))*(O$5&lt;&gt;N$5))*N38</f>
        <v>-79568.358333333337</v>
      </c>
      <c r="P38" s="40">
        <f>(1+INDEX(Assumptions!$C$50:$M$50,MATCH('DCF Model'!P5,Assumptions!$C$38:$M$38))*(P$5&lt;&gt;O$5))*O38</f>
        <v>-79568.358333333337</v>
      </c>
      <c r="Q38" s="40">
        <f>(1+INDEX(Assumptions!$C$50:$M$50,MATCH('DCF Model'!Q5,Assumptions!$C$38:$M$38))*(Q$5&lt;&gt;P$5))*P38</f>
        <v>-79568.358333333337</v>
      </c>
      <c r="R38" s="40">
        <f>(1+INDEX(Assumptions!$C$50:$M$50,MATCH('DCF Model'!R5,Assumptions!$C$38:$M$38))*(R$5&lt;&gt;Q$5))*Q38</f>
        <v>-79568.358333333337</v>
      </c>
      <c r="S38" s="40">
        <f>(1+INDEX(Assumptions!$C$50:$M$50,MATCH('DCF Model'!S5,Assumptions!$C$38:$M$38))*(S$5&lt;&gt;R$5))*R38</f>
        <v>-81955.409083333347</v>
      </c>
      <c r="T38" s="40">
        <f>(1+INDEX(Assumptions!$C$50:$M$50,MATCH('DCF Model'!T5,Assumptions!$C$38:$M$38))*(T$5&lt;&gt;S$5))*S38</f>
        <v>-81955.409083333347</v>
      </c>
      <c r="U38" s="40">
        <f>(1+INDEX(Assumptions!$C$50:$M$50,MATCH('DCF Model'!U5,Assumptions!$C$38:$M$38))*(U$5&lt;&gt;T$5))*T38</f>
        <v>-81955.409083333347</v>
      </c>
      <c r="V38" s="40">
        <f>(1+INDEX(Assumptions!$C$50:$M$50,MATCH('DCF Model'!V5,Assumptions!$C$38:$M$38))*(V$5&lt;&gt;U$5))*U38</f>
        <v>-81955.409083333347</v>
      </c>
      <c r="W38" s="40">
        <f>(1+INDEX(Assumptions!$C$50:$M$50,MATCH('DCF Model'!W5,Assumptions!$C$38:$M$38))*(W$5&lt;&gt;V$5))*V38</f>
        <v>-81955.409083333347</v>
      </c>
      <c r="X38" s="40">
        <f>(1+INDEX(Assumptions!$C$50:$M$50,MATCH('DCF Model'!X5,Assumptions!$C$38:$M$38))*(X$5&lt;&gt;W$5))*W38</f>
        <v>-81955.409083333347</v>
      </c>
      <c r="Y38" s="40">
        <f>(1+INDEX(Assumptions!$C$50:$M$50,MATCH('DCF Model'!Y5,Assumptions!$C$38:$M$38))*(Y$5&lt;&gt;X$5))*X38</f>
        <v>-81955.409083333347</v>
      </c>
      <c r="Z38" s="40">
        <f>(1+INDEX(Assumptions!$C$50:$M$50,MATCH('DCF Model'!Z5,Assumptions!$C$38:$M$38))*(Z$5&lt;&gt;Y$5))*Y38</f>
        <v>-81955.409083333347</v>
      </c>
      <c r="AA38" s="40">
        <f>(1+INDEX(Assumptions!$C$50:$M$50,MATCH('DCF Model'!AA5,Assumptions!$C$38:$M$38))*(AA$5&lt;&gt;Z$5))*Z38</f>
        <v>-81955.409083333347</v>
      </c>
      <c r="AB38" s="40">
        <f>(1+INDEX(Assumptions!$C$50:$M$50,MATCH('DCF Model'!AB5,Assumptions!$C$38:$M$38))*(AB$5&lt;&gt;AA$5))*AA38</f>
        <v>-81955.409083333347</v>
      </c>
      <c r="AC38" s="40">
        <f>(1+INDEX(Assumptions!$C$50:$M$50,MATCH('DCF Model'!AC5,Assumptions!$C$38:$M$38))*(AC$5&lt;&gt;AB$5))*AB38</f>
        <v>-81955.409083333347</v>
      </c>
      <c r="AD38" s="40">
        <f>(1+INDEX(Assumptions!$C$50:$M$50,MATCH('DCF Model'!AD5,Assumptions!$C$38:$M$38))*(AD$5&lt;&gt;AC$5))*AC38</f>
        <v>-81955.409083333347</v>
      </c>
      <c r="AE38" s="40">
        <f>(1+INDEX(Assumptions!$C$50:$M$50,MATCH('DCF Model'!AE5,Assumptions!$C$38:$M$38))*(AE$5&lt;&gt;AD$5))*AD38</f>
        <v>-84414.071355833352</v>
      </c>
      <c r="AF38" s="40">
        <f>(1+INDEX(Assumptions!$C$50:$M$50,MATCH('DCF Model'!AF5,Assumptions!$C$38:$M$38))*(AF$5&lt;&gt;AE$5))*AE38</f>
        <v>-84414.071355833352</v>
      </c>
      <c r="AG38" s="40">
        <f>(1+INDEX(Assumptions!$C$50:$M$50,MATCH('DCF Model'!AG5,Assumptions!$C$38:$M$38))*(AG$5&lt;&gt;AF$5))*AF38</f>
        <v>-84414.071355833352</v>
      </c>
      <c r="AH38" s="40">
        <f>(1+INDEX(Assumptions!$C$50:$M$50,MATCH('DCF Model'!AH5,Assumptions!$C$38:$M$38))*(AH$5&lt;&gt;AG$5))*AG38</f>
        <v>-84414.071355833352</v>
      </c>
      <c r="AI38" s="40">
        <f>(1+INDEX(Assumptions!$C$50:$M$50,MATCH('DCF Model'!AI5,Assumptions!$C$38:$M$38))*(AI$5&lt;&gt;AH$5))*AH38</f>
        <v>-84414.071355833352</v>
      </c>
      <c r="AJ38" s="40">
        <f>(1+INDEX(Assumptions!$C$50:$M$50,MATCH('DCF Model'!AJ5,Assumptions!$C$38:$M$38))*(AJ$5&lt;&gt;AI$5))*AI38</f>
        <v>-84414.071355833352</v>
      </c>
      <c r="AK38" s="40">
        <f>(1+INDEX(Assumptions!$C$50:$M$50,MATCH('DCF Model'!AK5,Assumptions!$C$38:$M$38))*(AK$5&lt;&gt;AJ$5))*AJ38</f>
        <v>-84414.071355833352</v>
      </c>
      <c r="AL38" s="40">
        <f>(1+INDEX(Assumptions!$C$50:$M$50,MATCH('DCF Model'!AL5,Assumptions!$C$38:$M$38))*(AL$5&lt;&gt;AK$5))*AK38</f>
        <v>-84414.071355833352</v>
      </c>
      <c r="AM38" s="40">
        <f>(1+INDEX(Assumptions!$C$50:$M$50,MATCH('DCF Model'!AM5,Assumptions!$C$38:$M$38))*(AM$5&lt;&gt;AL$5))*AL38</f>
        <v>-84414.071355833352</v>
      </c>
      <c r="AN38" s="40">
        <f>(1+INDEX(Assumptions!$C$50:$M$50,MATCH('DCF Model'!AN5,Assumptions!$C$38:$M$38))*(AN$5&lt;&gt;AM$5))*AM38</f>
        <v>-84414.071355833352</v>
      </c>
      <c r="AO38" s="40">
        <f>(1+INDEX(Assumptions!$C$50:$M$50,MATCH('DCF Model'!AO5,Assumptions!$C$38:$M$38))*(AO$5&lt;&gt;AN$5))*AN38</f>
        <v>-84414.071355833352</v>
      </c>
      <c r="AP38" s="40">
        <f>(1+INDEX(Assumptions!$C$50:$M$50,MATCH('DCF Model'!AP5,Assumptions!$C$38:$M$38))*(AP$5&lt;&gt;AO$5))*AO38</f>
        <v>-84414.071355833352</v>
      </c>
      <c r="AQ38" s="40">
        <f>(1+INDEX(Assumptions!$C$50:$M$50,MATCH('DCF Model'!AQ5,Assumptions!$C$38:$M$38))*(AQ$5&lt;&gt;AP$5))*AP38</f>
        <v>-86946.493496508352</v>
      </c>
      <c r="AR38" s="40">
        <f>(1+INDEX(Assumptions!$C$50:$M$50,MATCH('DCF Model'!AR5,Assumptions!$C$38:$M$38))*(AR$5&lt;&gt;AQ$5))*AQ38</f>
        <v>-86946.493496508352</v>
      </c>
      <c r="AS38" s="40">
        <f>(1+INDEX(Assumptions!$C$50:$M$50,MATCH('DCF Model'!AS5,Assumptions!$C$38:$M$38))*(AS$5&lt;&gt;AR$5))*AR38</f>
        <v>-86946.493496508352</v>
      </c>
      <c r="AT38" s="40">
        <f>(1+INDEX(Assumptions!$C$50:$M$50,MATCH('DCF Model'!AT5,Assumptions!$C$38:$M$38))*(AT$5&lt;&gt;AS$5))*AS38</f>
        <v>-86946.493496508352</v>
      </c>
      <c r="AU38" s="40">
        <f>(1+INDEX(Assumptions!$C$50:$M$50,MATCH('DCF Model'!AU5,Assumptions!$C$38:$M$38))*(AU$5&lt;&gt;AT$5))*AT38</f>
        <v>-86946.493496508352</v>
      </c>
      <c r="AV38" s="40">
        <f>(1+INDEX(Assumptions!$C$50:$M$50,MATCH('DCF Model'!AV5,Assumptions!$C$38:$M$38))*(AV$5&lt;&gt;AU$5))*AU38</f>
        <v>-86946.493496508352</v>
      </c>
      <c r="AW38" s="40">
        <f>(1+INDEX(Assumptions!$C$50:$M$50,MATCH('DCF Model'!AW5,Assumptions!$C$38:$M$38))*(AW$5&lt;&gt;AV$5))*AV38</f>
        <v>-86946.493496508352</v>
      </c>
      <c r="AX38" s="40">
        <f>(1+INDEX(Assumptions!$C$50:$M$50,MATCH('DCF Model'!AX5,Assumptions!$C$38:$M$38))*(AX$5&lt;&gt;AW$5))*AW38</f>
        <v>-86946.493496508352</v>
      </c>
      <c r="AY38" s="40">
        <f>(1+INDEX(Assumptions!$C$50:$M$50,MATCH('DCF Model'!AY5,Assumptions!$C$38:$M$38))*(AY$5&lt;&gt;AX$5))*AX38</f>
        <v>-86946.493496508352</v>
      </c>
      <c r="AZ38" s="40">
        <f>(1+INDEX(Assumptions!$C$50:$M$50,MATCH('DCF Model'!AZ5,Assumptions!$C$38:$M$38))*(AZ$5&lt;&gt;AY$5))*AY38</f>
        <v>-86946.493496508352</v>
      </c>
      <c r="BA38" s="40">
        <f>(1+INDEX(Assumptions!$C$50:$M$50,MATCH('DCF Model'!BA5,Assumptions!$C$38:$M$38))*(BA$5&lt;&gt;AZ$5))*AZ38</f>
        <v>-86946.493496508352</v>
      </c>
      <c r="BB38" s="40">
        <f>(1+INDEX(Assumptions!$C$50:$M$50,MATCH('DCF Model'!BB5,Assumptions!$C$38:$M$38))*(BB$5&lt;&gt;BA$5))*BA38</f>
        <v>-86946.493496508352</v>
      </c>
      <c r="BC38" s="40">
        <f>(1+INDEX(Assumptions!$C$50:$M$50,MATCH('DCF Model'!BC5,Assumptions!$C$38:$M$38))*(BC$5&lt;&gt;BB$5))*BB38</f>
        <v>-89554.888301403611</v>
      </c>
      <c r="BD38" s="40">
        <f>(1+INDEX(Assumptions!$C$50:$M$50,MATCH('DCF Model'!BD5,Assumptions!$C$38:$M$38))*(BD$5&lt;&gt;BC$5))*BC38</f>
        <v>-89554.888301403611</v>
      </c>
      <c r="BE38" s="40">
        <f>(1+INDEX(Assumptions!$C$50:$M$50,MATCH('DCF Model'!BE5,Assumptions!$C$38:$M$38))*(BE$5&lt;&gt;BD$5))*BD38</f>
        <v>-89554.888301403611</v>
      </c>
      <c r="BF38" s="40">
        <f>(1+INDEX(Assumptions!$C$50:$M$50,MATCH('DCF Model'!BF5,Assumptions!$C$38:$M$38))*(BF$5&lt;&gt;BE$5))*BE38</f>
        <v>-89554.888301403611</v>
      </c>
      <c r="BG38" s="40">
        <f>(1+INDEX(Assumptions!$C$50:$M$50,MATCH('DCF Model'!BG5,Assumptions!$C$38:$M$38))*(BG$5&lt;&gt;BF$5))*BF38</f>
        <v>-89554.888301403611</v>
      </c>
      <c r="BH38" s="40">
        <f>(1+INDEX(Assumptions!$C$50:$M$50,MATCH('DCF Model'!BH5,Assumptions!$C$38:$M$38))*(BH$5&lt;&gt;BG$5))*BG38</f>
        <v>-89554.888301403611</v>
      </c>
      <c r="BI38" s="40">
        <f>(1+INDEX(Assumptions!$C$50:$M$50,MATCH('DCF Model'!BI5,Assumptions!$C$38:$M$38))*(BI$5&lt;&gt;BH$5))*BH38</f>
        <v>-89554.888301403611</v>
      </c>
      <c r="BJ38" s="40">
        <f>(1+INDEX(Assumptions!$C$50:$M$50,MATCH('DCF Model'!BJ5,Assumptions!$C$38:$M$38))*(BJ$5&lt;&gt;BI$5))*BI38</f>
        <v>-89554.888301403611</v>
      </c>
      <c r="BK38" s="40">
        <f>(1+INDEX(Assumptions!$C$50:$M$50,MATCH('DCF Model'!BK5,Assumptions!$C$38:$M$38))*(BK$5&lt;&gt;BJ$5))*BJ38</f>
        <v>-89554.888301403611</v>
      </c>
      <c r="BL38" s="40">
        <f>(1+INDEX(Assumptions!$C$50:$M$50,MATCH('DCF Model'!BL5,Assumptions!$C$38:$M$38))*(BL$5&lt;&gt;BK$5))*BK38</f>
        <v>-89554.888301403611</v>
      </c>
      <c r="BM38" s="40">
        <f>(1+INDEX(Assumptions!$C$50:$M$50,MATCH('DCF Model'!BM5,Assumptions!$C$38:$M$38))*(BM$5&lt;&gt;BL$5))*BL38</f>
        <v>-89554.888301403611</v>
      </c>
      <c r="BN38" s="40">
        <f>(1+INDEX(Assumptions!$C$50:$M$50,MATCH('DCF Model'!BN5,Assumptions!$C$38:$M$38))*(BN$5&lt;&gt;BM$5))*BM38</f>
        <v>-89554.888301403611</v>
      </c>
      <c r="BO38" s="40">
        <f>(1+INDEX(Assumptions!$C$50:$M$50,MATCH('DCF Model'!BO5,Assumptions!$C$38:$M$38))*(BO$5&lt;&gt;BN$5))*BN38</f>
        <v>-92241.534950445726</v>
      </c>
      <c r="BP38" s="40">
        <f>(1+INDEX(Assumptions!$C$50:$M$50,MATCH('DCF Model'!BP5,Assumptions!$C$38:$M$38))*(BP$5&lt;&gt;BO$5))*BO38</f>
        <v>-92241.534950445726</v>
      </c>
      <c r="BQ38" s="40">
        <f>(1+INDEX(Assumptions!$C$50:$M$50,MATCH('DCF Model'!BQ5,Assumptions!$C$38:$M$38))*(BQ$5&lt;&gt;BP$5))*BP38</f>
        <v>-92241.534950445726</v>
      </c>
      <c r="BR38" s="40">
        <f>(1+INDEX(Assumptions!$C$50:$M$50,MATCH('DCF Model'!BR5,Assumptions!$C$38:$M$38))*(BR$5&lt;&gt;BQ$5))*BQ38</f>
        <v>-92241.534950445726</v>
      </c>
      <c r="BS38" s="40">
        <f>(1+INDEX(Assumptions!$C$50:$M$50,MATCH('DCF Model'!BS5,Assumptions!$C$38:$M$38))*(BS$5&lt;&gt;BR$5))*BR38</f>
        <v>-92241.534950445726</v>
      </c>
      <c r="BT38" s="40">
        <f>(1+INDEX(Assumptions!$C$50:$M$50,MATCH('DCF Model'!BT5,Assumptions!$C$38:$M$38))*(BT$5&lt;&gt;BS$5))*BS38</f>
        <v>-92241.534950445726</v>
      </c>
      <c r="BU38" s="40">
        <f>(1+INDEX(Assumptions!$C$50:$M$50,MATCH('DCF Model'!BU5,Assumptions!$C$38:$M$38))*(BU$5&lt;&gt;BT$5))*BT38</f>
        <v>-92241.534950445726</v>
      </c>
      <c r="BV38" s="40">
        <f>(1+INDEX(Assumptions!$C$50:$M$50,MATCH('DCF Model'!BV5,Assumptions!$C$38:$M$38))*(BV$5&lt;&gt;BU$5))*BU38</f>
        <v>-92241.534950445726</v>
      </c>
      <c r="BW38" s="40">
        <f>(1+INDEX(Assumptions!$C$50:$M$50,MATCH('DCF Model'!BW5,Assumptions!$C$38:$M$38))*(BW$5&lt;&gt;BV$5))*BV38</f>
        <v>-92241.534950445726</v>
      </c>
      <c r="BX38" s="40">
        <f>(1+INDEX(Assumptions!$C$50:$M$50,MATCH('DCF Model'!BX5,Assumptions!$C$38:$M$38))*(BX$5&lt;&gt;BW$5))*BW38</f>
        <v>-92241.534950445726</v>
      </c>
      <c r="BY38" s="40">
        <f>(1+INDEX(Assumptions!$C$50:$M$50,MATCH('DCF Model'!BY5,Assumptions!$C$38:$M$38))*(BY$5&lt;&gt;BX$5))*BX38</f>
        <v>-92241.534950445726</v>
      </c>
      <c r="BZ38" s="40">
        <f>(1+INDEX(Assumptions!$C$50:$M$50,MATCH('DCF Model'!BZ5,Assumptions!$C$38:$M$38))*(BZ$5&lt;&gt;BY$5))*BY38</f>
        <v>-92241.534950445726</v>
      </c>
      <c r="CA38" s="40">
        <f>(1+INDEX(Assumptions!$C$50:$M$50,MATCH('DCF Model'!CA5,Assumptions!$C$38:$M$38))*(CA$5&lt;&gt;BZ$5))*BZ38</f>
        <v>-95008.780998959104</v>
      </c>
      <c r="CB38" s="40">
        <f>(1+INDEX(Assumptions!$C$50:$M$50,MATCH('DCF Model'!CB5,Assumptions!$C$38:$M$38))*(CB$5&lt;&gt;CA$5))*CA38</f>
        <v>-95008.780998959104</v>
      </c>
      <c r="CC38" s="40">
        <f>(1+INDEX(Assumptions!$C$50:$M$50,MATCH('DCF Model'!CC5,Assumptions!$C$38:$M$38))*(CC$5&lt;&gt;CB$5))*CB38</f>
        <v>-95008.780998959104</v>
      </c>
      <c r="CD38" s="40">
        <f>(1+INDEX(Assumptions!$C$50:$M$50,MATCH('DCF Model'!CD5,Assumptions!$C$38:$M$38))*(CD$5&lt;&gt;CC$5))*CC38</f>
        <v>-95008.780998959104</v>
      </c>
      <c r="CE38" s="40">
        <f>(1+INDEX(Assumptions!$C$50:$M$50,MATCH('DCF Model'!CE5,Assumptions!$C$38:$M$38))*(CE$5&lt;&gt;CD$5))*CD38</f>
        <v>-95008.780998959104</v>
      </c>
      <c r="CF38" s="40">
        <f>(1+INDEX(Assumptions!$C$50:$M$50,MATCH('DCF Model'!CF5,Assumptions!$C$38:$M$38))*(CF$5&lt;&gt;CE$5))*CE38</f>
        <v>-95008.780998959104</v>
      </c>
      <c r="CG38" s="40">
        <f>(1+INDEX(Assumptions!$C$50:$M$50,MATCH('DCF Model'!CG5,Assumptions!$C$38:$M$38))*(CG$5&lt;&gt;CF$5))*CF38</f>
        <v>-95008.780998959104</v>
      </c>
      <c r="CH38" s="40">
        <f>(1+INDEX(Assumptions!$C$50:$M$50,MATCH('DCF Model'!CH5,Assumptions!$C$38:$M$38))*(CH$5&lt;&gt;CG$5))*CG38</f>
        <v>-95008.780998959104</v>
      </c>
      <c r="CI38" s="40">
        <f>(1+INDEX(Assumptions!$C$50:$M$50,MATCH('DCF Model'!CI5,Assumptions!$C$38:$M$38))*(CI$5&lt;&gt;CH$5))*CH38</f>
        <v>-95008.780998959104</v>
      </c>
      <c r="CJ38" s="40">
        <f>(1+INDEX(Assumptions!$C$50:$M$50,MATCH('DCF Model'!CJ5,Assumptions!$C$38:$M$38))*(CJ$5&lt;&gt;CI$5))*CI38</f>
        <v>-95008.780998959104</v>
      </c>
      <c r="CK38" s="40">
        <f>(1+INDEX(Assumptions!$C$50:$M$50,MATCH('DCF Model'!CK5,Assumptions!$C$38:$M$38))*(CK$5&lt;&gt;CJ$5))*CJ38</f>
        <v>-95008.780998959104</v>
      </c>
      <c r="CL38" s="40">
        <f>(1+INDEX(Assumptions!$C$50:$M$50,MATCH('DCF Model'!CL5,Assumptions!$C$38:$M$38))*(CL$5&lt;&gt;CK$5))*CK38</f>
        <v>-95008.780998959104</v>
      </c>
      <c r="CM38" s="119">
        <f>(1+INDEX(Assumptions!$C$50:$M$50,MATCH('DCF Model'!CM5,Assumptions!$C$38:$M$38))*(CM$5&lt;&gt;CL$5))*CL38</f>
        <v>-97859.044428927882</v>
      </c>
      <c r="CN38" s="119">
        <f>(1+INDEX(Assumptions!$C$50:$M$50,MATCH('DCF Model'!CN5,Assumptions!$C$38:$M$38))*(CN$5&lt;&gt;CM$5))*CM38</f>
        <v>-97859.044428927882</v>
      </c>
      <c r="CO38" s="119">
        <f>(1+INDEX(Assumptions!$C$50:$M$50,MATCH('DCF Model'!CO5,Assumptions!$C$38:$M$38))*(CO$5&lt;&gt;CN$5))*CN38</f>
        <v>-97859.044428927882</v>
      </c>
      <c r="CP38" s="119">
        <f>(1+INDEX(Assumptions!$C$50:$M$50,MATCH('DCF Model'!CP5,Assumptions!$C$38:$M$38))*(CP$5&lt;&gt;CO$5))*CO38</f>
        <v>-97859.044428927882</v>
      </c>
      <c r="CQ38" s="119">
        <f>(1+INDEX(Assumptions!$C$50:$M$50,MATCH('DCF Model'!CQ5,Assumptions!$C$38:$M$38))*(CQ$5&lt;&gt;CP$5))*CP38</f>
        <v>-97859.044428927882</v>
      </c>
      <c r="CR38" s="119">
        <f>(1+INDEX(Assumptions!$C$50:$M$50,MATCH('DCF Model'!CR5,Assumptions!$C$38:$M$38))*(CR$5&lt;&gt;CQ$5))*CQ38</f>
        <v>-97859.044428927882</v>
      </c>
      <c r="CS38" s="119">
        <f>(1+INDEX(Assumptions!$C$50:$M$50,MATCH('DCF Model'!CS5,Assumptions!$C$38:$M$38))*(CS$5&lt;&gt;CR$5))*CR38</f>
        <v>-97859.044428927882</v>
      </c>
      <c r="CT38" s="119">
        <f>(1+INDEX(Assumptions!$C$50:$M$50,MATCH('DCF Model'!CT5,Assumptions!$C$38:$M$38))*(CT$5&lt;&gt;CS$5))*CS38</f>
        <v>-97859.044428927882</v>
      </c>
      <c r="CU38" s="119">
        <f>(1+INDEX(Assumptions!$C$50:$M$50,MATCH('DCF Model'!CU5,Assumptions!$C$38:$M$38))*(CU$5&lt;&gt;CT$5))*CT38</f>
        <v>-97859.044428927882</v>
      </c>
      <c r="CV38" s="119">
        <f>(1+INDEX(Assumptions!$C$50:$M$50,MATCH('DCF Model'!CV5,Assumptions!$C$38:$M$38))*(CV$5&lt;&gt;CU$5))*CU38</f>
        <v>-97859.044428927882</v>
      </c>
      <c r="CW38" s="119">
        <f>(1+INDEX(Assumptions!$C$50:$M$50,MATCH('DCF Model'!CW5,Assumptions!$C$38:$M$38))*(CW$5&lt;&gt;CV$5))*CV38</f>
        <v>-97859.044428927882</v>
      </c>
      <c r="CX38" s="119">
        <f>(1+INDEX(Assumptions!$C$50:$M$50,MATCH('DCF Model'!CX5,Assumptions!$C$38:$M$38))*(CX$5&lt;&gt;CW$5))*CW38</f>
        <v>-97859.044428927882</v>
      </c>
    </row>
    <row r="39" spans="2:102" ht="12.6" customHeight="1" x14ac:dyDescent="0.2">
      <c r="B39" s="117" t="s">
        <v>107</v>
      </c>
      <c r="C39" s="34"/>
      <c r="D39" s="40">
        <f>Assumptions!L30</f>
        <v>-122556</v>
      </c>
      <c r="E39" s="31"/>
      <c r="G39" s="40">
        <f>-INDEX(Assumptions!$C$51:$M$51,MATCH('DCF Model'!G5,Assumptions!$C$38:$M$38))*G26</f>
        <v>-8099.5625</v>
      </c>
      <c r="H39" s="40">
        <f>-INDEX(Assumptions!$C$51:$M$51,MATCH('DCF Model'!H5,Assumptions!$C$38:$M$38))*H26</f>
        <v>-8099.5625</v>
      </c>
      <c r="I39" s="40">
        <f>-INDEX(Assumptions!$C$51:$M$51,MATCH('DCF Model'!I5,Assumptions!$C$38:$M$38))*I26</f>
        <v>-8099.5625</v>
      </c>
      <c r="J39" s="40">
        <f>-INDEX(Assumptions!$C$51:$M$51,MATCH('DCF Model'!J5,Assumptions!$C$38:$M$38))*J26</f>
        <v>-8099.5625</v>
      </c>
      <c r="K39" s="40">
        <f>-INDEX(Assumptions!$C$51:$M$51,MATCH('DCF Model'!K5,Assumptions!$C$38:$M$38))*K26</f>
        <v>-8099.5625</v>
      </c>
      <c r="L39" s="40">
        <f>-INDEX(Assumptions!$C$51:$M$51,MATCH('DCF Model'!L5,Assumptions!$C$38:$M$38))*L26</f>
        <v>-8099.5625</v>
      </c>
      <c r="M39" s="40">
        <f>-INDEX(Assumptions!$C$51:$M$51,MATCH('DCF Model'!M5,Assumptions!$C$38:$M$38))*M26</f>
        <v>-8099.5625</v>
      </c>
      <c r="N39" s="40">
        <f>-INDEX(Assumptions!$C$51:$M$51,MATCH('DCF Model'!N5,Assumptions!$C$38:$M$38))*N26</f>
        <v>-8099.5625</v>
      </c>
      <c r="O39" s="40">
        <f>-INDEX(Assumptions!$C$51:$M$51,MATCH('DCF Model'!O5,Assumptions!$C$38:$M$38))*O26</f>
        <v>-8099.5625</v>
      </c>
      <c r="P39" s="40">
        <f>-INDEX(Assumptions!$C$51:$M$51,MATCH('DCF Model'!P5,Assumptions!$C$38:$M$38))*P26</f>
        <v>-8099.5625</v>
      </c>
      <c r="Q39" s="40">
        <f>-INDEX(Assumptions!$C$51:$M$51,MATCH('DCF Model'!Q5,Assumptions!$C$38:$M$38))*Q26</f>
        <v>-8099.5625</v>
      </c>
      <c r="R39" s="40">
        <f>-INDEX(Assumptions!$C$51:$M$51,MATCH('DCF Model'!R5,Assumptions!$C$38:$M$38))*R26</f>
        <v>-8099.5625</v>
      </c>
      <c r="S39" s="40">
        <f>-INDEX(Assumptions!$C$51:$M$51,MATCH('DCF Model'!S5,Assumptions!$C$38:$M$38))*S26</f>
        <v>-9661.5415625000005</v>
      </c>
      <c r="T39" s="40">
        <f>-INDEX(Assumptions!$C$51:$M$51,MATCH('DCF Model'!T5,Assumptions!$C$38:$M$38))*T26</f>
        <v>-9661.5415625000005</v>
      </c>
      <c r="U39" s="40">
        <f>-INDEX(Assumptions!$C$51:$M$51,MATCH('DCF Model'!U5,Assumptions!$C$38:$M$38))*U26</f>
        <v>-9661.5415625000005</v>
      </c>
      <c r="V39" s="40">
        <f>-INDEX(Assumptions!$C$51:$M$51,MATCH('DCF Model'!V5,Assumptions!$C$38:$M$38))*V26</f>
        <v>-9661.5415625000005</v>
      </c>
      <c r="W39" s="40">
        <f>-INDEX(Assumptions!$C$51:$M$51,MATCH('DCF Model'!W5,Assumptions!$C$38:$M$38))*W26</f>
        <v>-9661.5415625000005</v>
      </c>
      <c r="X39" s="40">
        <f>-INDEX(Assumptions!$C$51:$M$51,MATCH('DCF Model'!X5,Assumptions!$C$38:$M$38))*X26</f>
        <v>-9661.5415625000005</v>
      </c>
      <c r="Y39" s="40">
        <f>-INDEX(Assumptions!$C$51:$M$51,MATCH('DCF Model'!Y5,Assumptions!$C$38:$M$38))*Y26</f>
        <v>-9661.5415625000005</v>
      </c>
      <c r="Z39" s="40">
        <f>-INDEX(Assumptions!$C$51:$M$51,MATCH('DCF Model'!Z5,Assumptions!$C$38:$M$38))*Z26</f>
        <v>-9661.5415625000005</v>
      </c>
      <c r="AA39" s="40">
        <f>-INDEX(Assumptions!$C$51:$M$51,MATCH('DCF Model'!AA5,Assumptions!$C$38:$M$38))*AA26</f>
        <v>-9661.5415625000005</v>
      </c>
      <c r="AB39" s="40">
        <f>-INDEX(Assumptions!$C$51:$M$51,MATCH('DCF Model'!AB5,Assumptions!$C$38:$M$38))*AB26</f>
        <v>-9661.5415625000005</v>
      </c>
      <c r="AC39" s="40">
        <f>-INDEX(Assumptions!$C$51:$M$51,MATCH('DCF Model'!AC5,Assumptions!$C$38:$M$38))*AC26</f>
        <v>-9661.5415625000005</v>
      </c>
      <c r="AD39" s="40">
        <f>-INDEX(Assumptions!$C$51:$M$51,MATCH('DCF Model'!AD5,Assumptions!$C$38:$M$38))*AD26</f>
        <v>-9661.5415625000005</v>
      </c>
      <c r="AE39" s="40">
        <f>-INDEX(Assumptions!$C$51:$M$51,MATCH('DCF Model'!AE5,Assumptions!$C$38:$M$38))*AE26</f>
        <v>-11461.000700000001</v>
      </c>
      <c r="AF39" s="40">
        <f>-INDEX(Assumptions!$C$51:$M$51,MATCH('DCF Model'!AF5,Assumptions!$C$38:$M$38))*AF26</f>
        <v>-11461.000700000001</v>
      </c>
      <c r="AG39" s="40">
        <f>-INDEX(Assumptions!$C$51:$M$51,MATCH('DCF Model'!AG5,Assumptions!$C$38:$M$38))*AG26</f>
        <v>-11461.000700000001</v>
      </c>
      <c r="AH39" s="40">
        <f>-INDEX(Assumptions!$C$51:$M$51,MATCH('DCF Model'!AH5,Assumptions!$C$38:$M$38))*AH26</f>
        <v>-11461.000700000001</v>
      </c>
      <c r="AI39" s="40">
        <f>-INDEX(Assumptions!$C$51:$M$51,MATCH('DCF Model'!AI5,Assumptions!$C$38:$M$38))*AI26</f>
        <v>-11461.000700000001</v>
      </c>
      <c r="AJ39" s="40">
        <f>-INDEX(Assumptions!$C$51:$M$51,MATCH('DCF Model'!AJ5,Assumptions!$C$38:$M$38))*AJ26</f>
        <v>-11461.000700000001</v>
      </c>
      <c r="AK39" s="40">
        <f>-INDEX(Assumptions!$C$51:$M$51,MATCH('DCF Model'!AK5,Assumptions!$C$38:$M$38))*AK26</f>
        <v>-11461.000700000001</v>
      </c>
      <c r="AL39" s="40">
        <f>-INDEX(Assumptions!$C$51:$M$51,MATCH('DCF Model'!AL5,Assumptions!$C$38:$M$38))*AL26</f>
        <v>-11461.000700000001</v>
      </c>
      <c r="AM39" s="40">
        <f>-INDEX(Assumptions!$C$51:$M$51,MATCH('DCF Model'!AM5,Assumptions!$C$38:$M$38))*AM26</f>
        <v>-11461.000700000001</v>
      </c>
      <c r="AN39" s="40">
        <f>-INDEX(Assumptions!$C$51:$M$51,MATCH('DCF Model'!AN5,Assumptions!$C$38:$M$38))*AN26</f>
        <v>-11461.000700000001</v>
      </c>
      <c r="AO39" s="40">
        <f>-INDEX(Assumptions!$C$51:$M$51,MATCH('DCF Model'!AO5,Assumptions!$C$38:$M$38))*AO26</f>
        <v>-11461.000700000001</v>
      </c>
      <c r="AP39" s="40">
        <f>-INDEX(Assumptions!$C$51:$M$51,MATCH('DCF Model'!AP5,Assumptions!$C$38:$M$38))*AP26</f>
        <v>-11461.000700000001</v>
      </c>
      <c r="AQ39" s="40">
        <f>-INDEX(Assumptions!$C$51:$M$51,MATCH('DCF Model'!AQ5,Assumptions!$C$38:$M$38))*AQ26</f>
        <v>-11998.588205375001</v>
      </c>
      <c r="AR39" s="40">
        <f>-INDEX(Assumptions!$C$51:$M$51,MATCH('DCF Model'!AR5,Assumptions!$C$38:$M$38))*AR26</f>
        <v>-11998.588205375001</v>
      </c>
      <c r="AS39" s="40">
        <f>-INDEX(Assumptions!$C$51:$M$51,MATCH('DCF Model'!AS5,Assumptions!$C$38:$M$38))*AS26</f>
        <v>-11998.588205375001</v>
      </c>
      <c r="AT39" s="40">
        <f>-INDEX(Assumptions!$C$51:$M$51,MATCH('DCF Model'!AT5,Assumptions!$C$38:$M$38))*AT26</f>
        <v>-11998.588205375001</v>
      </c>
      <c r="AU39" s="40">
        <f>-INDEX(Assumptions!$C$51:$M$51,MATCH('DCF Model'!AU5,Assumptions!$C$38:$M$38))*AU26</f>
        <v>-11998.588205375001</v>
      </c>
      <c r="AV39" s="40">
        <f>-INDEX(Assumptions!$C$51:$M$51,MATCH('DCF Model'!AV5,Assumptions!$C$38:$M$38))*AV26</f>
        <v>-11998.588205375001</v>
      </c>
      <c r="AW39" s="40">
        <f>-INDEX(Assumptions!$C$51:$M$51,MATCH('DCF Model'!AW5,Assumptions!$C$38:$M$38))*AW26</f>
        <v>-11998.588205375001</v>
      </c>
      <c r="AX39" s="40">
        <f>-INDEX(Assumptions!$C$51:$M$51,MATCH('DCF Model'!AX5,Assumptions!$C$38:$M$38))*AX26</f>
        <v>-11998.588205375001</v>
      </c>
      <c r="AY39" s="40">
        <f>-INDEX(Assumptions!$C$51:$M$51,MATCH('DCF Model'!AY5,Assumptions!$C$38:$M$38))*AY26</f>
        <v>-11998.588205375001</v>
      </c>
      <c r="AZ39" s="40">
        <f>-INDEX(Assumptions!$C$51:$M$51,MATCH('DCF Model'!AZ5,Assumptions!$C$38:$M$38))*AZ26</f>
        <v>-11998.588205375001</v>
      </c>
      <c r="BA39" s="40">
        <f>-INDEX(Assumptions!$C$51:$M$51,MATCH('DCF Model'!BA5,Assumptions!$C$38:$M$38))*BA26</f>
        <v>-11998.588205375001</v>
      </c>
      <c r="BB39" s="40">
        <f>-INDEX(Assumptions!$C$51:$M$51,MATCH('DCF Model'!BB5,Assumptions!$C$38:$M$38))*BB26</f>
        <v>-11998.588205375001</v>
      </c>
      <c r="BC39" s="40">
        <f>-INDEX(Assumptions!$C$51:$M$51,MATCH('DCF Model'!BC5,Assumptions!$C$38:$M$38))*BC26</f>
        <v>-12358.545851536248</v>
      </c>
      <c r="BD39" s="40">
        <f>-INDEX(Assumptions!$C$51:$M$51,MATCH('DCF Model'!BD5,Assumptions!$C$38:$M$38))*BD26</f>
        <v>-12358.545851536248</v>
      </c>
      <c r="BE39" s="40">
        <f>-INDEX(Assumptions!$C$51:$M$51,MATCH('DCF Model'!BE5,Assumptions!$C$38:$M$38))*BE26</f>
        <v>-12358.545851536248</v>
      </c>
      <c r="BF39" s="40">
        <f>-INDEX(Assumptions!$C$51:$M$51,MATCH('DCF Model'!BF5,Assumptions!$C$38:$M$38))*BF26</f>
        <v>-12358.545851536248</v>
      </c>
      <c r="BG39" s="40">
        <f>-INDEX(Assumptions!$C$51:$M$51,MATCH('DCF Model'!BG5,Assumptions!$C$38:$M$38))*BG26</f>
        <v>-12358.545851536248</v>
      </c>
      <c r="BH39" s="40">
        <f>-INDEX(Assumptions!$C$51:$M$51,MATCH('DCF Model'!BH5,Assumptions!$C$38:$M$38))*BH26</f>
        <v>-12358.545851536248</v>
      </c>
      <c r="BI39" s="40">
        <f>-INDEX(Assumptions!$C$51:$M$51,MATCH('DCF Model'!BI5,Assumptions!$C$38:$M$38))*BI26</f>
        <v>-12358.545851536248</v>
      </c>
      <c r="BJ39" s="40">
        <f>-INDEX(Assumptions!$C$51:$M$51,MATCH('DCF Model'!BJ5,Assumptions!$C$38:$M$38))*BJ26</f>
        <v>-12358.545851536248</v>
      </c>
      <c r="BK39" s="40">
        <f>-INDEX(Assumptions!$C$51:$M$51,MATCH('DCF Model'!BK5,Assumptions!$C$38:$M$38))*BK26</f>
        <v>-12358.545851536248</v>
      </c>
      <c r="BL39" s="40">
        <f>-INDEX(Assumptions!$C$51:$M$51,MATCH('DCF Model'!BL5,Assumptions!$C$38:$M$38))*BL26</f>
        <v>-12358.545851536248</v>
      </c>
      <c r="BM39" s="40">
        <f>-INDEX(Assumptions!$C$51:$M$51,MATCH('DCF Model'!BM5,Assumptions!$C$38:$M$38))*BM26</f>
        <v>-12358.545851536248</v>
      </c>
      <c r="BN39" s="40">
        <f>-INDEX(Assumptions!$C$51:$M$51,MATCH('DCF Model'!BN5,Assumptions!$C$38:$M$38))*BN26</f>
        <v>-12358.545851536248</v>
      </c>
      <c r="BO39" s="40">
        <f>-INDEX(Assumptions!$C$51:$M$51,MATCH('DCF Model'!BO5,Assumptions!$C$38:$M$38))*BO26</f>
        <v>-12729.30222708234</v>
      </c>
      <c r="BP39" s="40">
        <f>-INDEX(Assumptions!$C$51:$M$51,MATCH('DCF Model'!BP5,Assumptions!$C$38:$M$38))*BP26</f>
        <v>-12729.30222708234</v>
      </c>
      <c r="BQ39" s="40">
        <f>-INDEX(Assumptions!$C$51:$M$51,MATCH('DCF Model'!BQ5,Assumptions!$C$38:$M$38))*BQ26</f>
        <v>-12729.30222708234</v>
      </c>
      <c r="BR39" s="40">
        <f>-INDEX(Assumptions!$C$51:$M$51,MATCH('DCF Model'!BR5,Assumptions!$C$38:$M$38))*BR26</f>
        <v>-12729.30222708234</v>
      </c>
      <c r="BS39" s="40">
        <f>-INDEX(Assumptions!$C$51:$M$51,MATCH('DCF Model'!BS5,Assumptions!$C$38:$M$38))*BS26</f>
        <v>-12729.30222708234</v>
      </c>
      <c r="BT39" s="40">
        <f>-INDEX(Assumptions!$C$51:$M$51,MATCH('DCF Model'!BT5,Assumptions!$C$38:$M$38))*BT26</f>
        <v>-12729.30222708234</v>
      </c>
      <c r="BU39" s="40">
        <f>-INDEX(Assumptions!$C$51:$M$51,MATCH('DCF Model'!BU5,Assumptions!$C$38:$M$38))*BU26</f>
        <v>-12729.30222708234</v>
      </c>
      <c r="BV39" s="40">
        <f>-INDEX(Assumptions!$C$51:$M$51,MATCH('DCF Model'!BV5,Assumptions!$C$38:$M$38))*BV26</f>
        <v>-12729.30222708234</v>
      </c>
      <c r="BW39" s="40">
        <f>-INDEX(Assumptions!$C$51:$M$51,MATCH('DCF Model'!BW5,Assumptions!$C$38:$M$38))*BW26</f>
        <v>-12729.30222708234</v>
      </c>
      <c r="BX39" s="40">
        <f>-INDEX(Assumptions!$C$51:$M$51,MATCH('DCF Model'!BX5,Assumptions!$C$38:$M$38))*BX26</f>
        <v>-12729.30222708234</v>
      </c>
      <c r="BY39" s="40">
        <f>-INDEX(Assumptions!$C$51:$M$51,MATCH('DCF Model'!BY5,Assumptions!$C$38:$M$38))*BY26</f>
        <v>-12729.30222708234</v>
      </c>
      <c r="BZ39" s="40">
        <f>-INDEX(Assumptions!$C$51:$M$51,MATCH('DCF Model'!BZ5,Assumptions!$C$38:$M$38))*BZ26</f>
        <v>-12729.30222708234</v>
      </c>
      <c r="CA39" s="40">
        <f>-INDEX(Assumptions!$C$51:$M$51,MATCH('DCF Model'!CA5,Assumptions!$C$38:$M$38))*CA26</f>
        <v>-13111.18129389481</v>
      </c>
      <c r="CB39" s="40">
        <f>-INDEX(Assumptions!$C$51:$M$51,MATCH('DCF Model'!CB5,Assumptions!$C$38:$M$38))*CB26</f>
        <v>-13111.18129389481</v>
      </c>
      <c r="CC39" s="40">
        <f>-INDEX(Assumptions!$C$51:$M$51,MATCH('DCF Model'!CC5,Assumptions!$C$38:$M$38))*CC26</f>
        <v>-13111.18129389481</v>
      </c>
      <c r="CD39" s="40">
        <f>-INDEX(Assumptions!$C$51:$M$51,MATCH('DCF Model'!CD5,Assumptions!$C$38:$M$38))*CD26</f>
        <v>-13111.18129389481</v>
      </c>
      <c r="CE39" s="40">
        <f>-INDEX(Assumptions!$C$51:$M$51,MATCH('DCF Model'!CE5,Assumptions!$C$38:$M$38))*CE26</f>
        <v>-13111.18129389481</v>
      </c>
      <c r="CF39" s="40">
        <f>-INDEX(Assumptions!$C$51:$M$51,MATCH('DCF Model'!CF5,Assumptions!$C$38:$M$38))*CF26</f>
        <v>-13111.18129389481</v>
      </c>
      <c r="CG39" s="40">
        <f>-INDEX(Assumptions!$C$51:$M$51,MATCH('DCF Model'!CG5,Assumptions!$C$38:$M$38))*CG26</f>
        <v>-13111.18129389481</v>
      </c>
      <c r="CH39" s="40">
        <f>-INDEX(Assumptions!$C$51:$M$51,MATCH('DCF Model'!CH5,Assumptions!$C$38:$M$38))*CH26</f>
        <v>-13111.18129389481</v>
      </c>
      <c r="CI39" s="40">
        <f>-INDEX(Assumptions!$C$51:$M$51,MATCH('DCF Model'!CI5,Assumptions!$C$38:$M$38))*CI26</f>
        <v>-13111.18129389481</v>
      </c>
      <c r="CJ39" s="40">
        <f>-INDEX(Assumptions!$C$51:$M$51,MATCH('DCF Model'!CJ5,Assumptions!$C$38:$M$38))*CJ26</f>
        <v>-13111.18129389481</v>
      </c>
      <c r="CK39" s="40">
        <f>-INDEX(Assumptions!$C$51:$M$51,MATCH('DCF Model'!CK5,Assumptions!$C$38:$M$38))*CK26</f>
        <v>-13111.18129389481</v>
      </c>
      <c r="CL39" s="40">
        <f>-INDEX(Assumptions!$C$51:$M$51,MATCH('DCF Model'!CL5,Assumptions!$C$38:$M$38))*CL26</f>
        <v>-13111.18129389481</v>
      </c>
      <c r="CM39" s="119">
        <f>-INDEX(Assumptions!$C$51:$M$51,MATCH('DCF Model'!CM5,Assumptions!$C$38:$M$38))*CM26</f>
        <v>-13504.516732711649</v>
      </c>
      <c r="CN39" s="119">
        <f>-INDEX(Assumptions!$C$51:$M$51,MATCH('DCF Model'!CN5,Assumptions!$C$38:$M$38))*CN26</f>
        <v>-13504.516732711649</v>
      </c>
      <c r="CO39" s="119">
        <f>-INDEX(Assumptions!$C$51:$M$51,MATCH('DCF Model'!CO5,Assumptions!$C$38:$M$38))*CO26</f>
        <v>-13504.516732711649</v>
      </c>
      <c r="CP39" s="119">
        <f>-INDEX(Assumptions!$C$51:$M$51,MATCH('DCF Model'!CP5,Assumptions!$C$38:$M$38))*CP26</f>
        <v>-13504.516732711649</v>
      </c>
      <c r="CQ39" s="119">
        <f>-INDEX(Assumptions!$C$51:$M$51,MATCH('DCF Model'!CQ5,Assumptions!$C$38:$M$38))*CQ26</f>
        <v>-13504.516732711649</v>
      </c>
      <c r="CR39" s="119">
        <f>-INDEX(Assumptions!$C$51:$M$51,MATCH('DCF Model'!CR5,Assumptions!$C$38:$M$38))*CR26</f>
        <v>-13504.516732711649</v>
      </c>
      <c r="CS39" s="119">
        <f>-INDEX(Assumptions!$C$51:$M$51,MATCH('DCF Model'!CS5,Assumptions!$C$38:$M$38))*CS26</f>
        <v>-13504.516732711649</v>
      </c>
      <c r="CT39" s="119">
        <f>-INDEX(Assumptions!$C$51:$M$51,MATCH('DCF Model'!CT5,Assumptions!$C$38:$M$38))*CT26</f>
        <v>-13504.516732711649</v>
      </c>
      <c r="CU39" s="119">
        <f>-INDEX(Assumptions!$C$51:$M$51,MATCH('DCF Model'!CU5,Assumptions!$C$38:$M$38))*CU26</f>
        <v>-13504.516732711649</v>
      </c>
      <c r="CV39" s="119">
        <f>-INDEX(Assumptions!$C$51:$M$51,MATCH('DCF Model'!CV5,Assumptions!$C$38:$M$38))*CV26</f>
        <v>-13504.516732711649</v>
      </c>
      <c r="CW39" s="119">
        <f>-INDEX(Assumptions!$C$51:$M$51,MATCH('DCF Model'!CW5,Assumptions!$C$38:$M$38))*CW26</f>
        <v>-13504.516732711649</v>
      </c>
      <c r="CX39" s="119">
        <f>-INDEX(Assumptions!$C$51:$M$51,MATCH('DCF Model'!CX5,Assumptions!$C$38:$M$38))*CX26</f>
        <v>-13504.516732711649</v>
      </c>
    </row>
    <row r="40" spans="2:102" ht="12.6" customHeight="1" x14ac:dyDescent="0.2">
      <c r="B40" s="41" t="s">
        <v>90</v>
      </c>
      <c r="C40" s="42"/>
      <c r="D40" s="43">
        <f>SUM(D36:D39)</f>
        <v>-1974669</v>
      </c>
      <c r="E40" s="42"/>
      <c r="F40" s="42"/>
      <c r="G40" s="43">
        <f>SUM(G36:G39)</f>
        <v>-167072.59500000003</v>
      </c>
      <c r="H40" s="43">
        <f t="shared" ref="H40:BS40" si="37">SUM(H36:H39)</f>
        <v>-167072.59500000003</v>
      </c>
      <c r="I40" s="43">
        <f t="shared" si="37"/>
        <v>-167072.59500000003</v>
      </c>
      <c r="J40" s="43">
        <f t="shared" si="37"/>
        <v>-167072.59500000003</v>
      </c>
      <c r="K40" s="43">
        <f t="shared" si="37"/>
        <v>-167072.59500000003</v>
      </c>
      <c r="L40" s="43">
        <f t="shared" si="37"/>
        <v>-167072.59500000003</v>
      </c>
      <c r="M40" s="43">
        <f t="shared" si="37"/>
        <v>-167072.59500000003</v>
      </c>
      <c r="N40" s="43">
        <f t="shared" si="37"/>
        <v>-167072.59500000003</v>
      </c>
      <c r="O40" s="43">
        <f t="shared" si="37"/>
        <v>-167072.59500000003</v>
      </c>
      <c r="P40" s="43">
        <f t="shared" si="37"/>
        <v>-167072.59500000003</v>
      </c>
      <c r="Q40" s="43">
        <f t="shared" si="37"/>
        <v>-167072.59500000003</v>
      </c>
      <c r="R40" s="43">
        <f t="shared" si="37"/>
        <v>-167072.59500000003</v>
      </c>
      <c r="S40" s="43">
        <f t="shared" si="37"/>
        <v>-173403.76503750001</v>
      </c>
      <c r="T40" s="43">
        <f t="shared" si="37"/>
        <v>-173403.76503750001</v>
      </c>
      <c r="U40" s="43">
        <f t="shared" si="37"/>
        <v>-173403.76503750001</v>
      </c>
      <c r="V40" s="43">
        <f t="shared" si="37"/>
        <v>-173403.76503750001</v>
      </c>
      <c r="W40" s="43">
        <f t="shared" si="37"/>
        <v>-173403.76503750001</v>
      </c>
      <c r="X40" s="43">
        <f t="shared" si="37"/>
        <v>-173403.76503750001</v>
      </c>
      <c r="Y40" s="43">
        <f t="shared" si="37"/>
        <v>-173403.76503750001</v>
      </c>
      <c r="Z40" s="43">
        <f t="shared" si="37"/>
        <v>-173403.76503750001</v>
      </c>
      <c r="AA40" s="43">
        <f t="shared" si="37"/>
        <v>-173403.76503750001</v>
      </c>
      <c r="AB40" s="43">
        <f t="shared" si="37"/>
        <v>-173403.76503750001</v>
      </c>
      <c r="AC40" s="43">
        <f t="shared" si="37"/>
        <v>-173403.76503750001</v>
      </c>
      <c r="AD40" s="43">
        <f t="shared" si="37"/>
        <v>-173403.76503750001</v>
      </c>
      <c r="AE40" s="43">
        <f t="shared" si="37"/>
        <v>-180115.49087925002</v>
      </c>
      <c r="AF40" s="43">
        <f t="shared" si="37"/>
        <v>-180115.49087925002</v>
      </c>
      <c r="AG40" s="43">
        <f t="shared" si="37"/>
        <v>-180115.49087925002</v>
      </c>
      <c r="AH40" s="43">
        <f t="shared" si="37"/>
        <v>-180115.49087925002</v>
      </c>
      <c r="AI40" s="43">
        <f t="shared" si="37"/>
        <v>-180115.49087925002</v>
      </c>
      <c r="AJ40" s="43">
        <f t="shared" si="37"/>
        <v>-180115.49087925002</v>
      </c>
      <c r="AK40" s="43">
        <f t="shared" si="37"/>
        <v>-180115.49087925002</v>
      </c>
      <c r="AL40" s="43">
        <f t="shared" si="37"/>
        <v>-180115.49087925002</v>
      </c>
      <c r="AM40" s="43">
        <f t="shared" si="37"/>
        <v>-180115.49087925002</v>
      </c>
      <c r="AN40" s="43">
        <f t="shared" si="37"/>
        <v>-180115.49087925002</v>
      </c>
      <c r="AO40" s="43">
        <f t="shared" si="37"/>
        <v>-180115.49087925002</v>
      </c>
      <c r="AP40" s="43">
        <f t="shared" si="37"/>
        <v>-180115.49087925002</v>
      </c>
      <c r="AQ40" s="43">
        <f t="shared" si="37"/>
        <v>-185712.71309000254</v>
      </c>
      <c r="AR40" s="43">
        <f t="shared" si="37"/>
        <v>-185712.71309000254</v>
      </c>
      <c r="AS40" s="43">
        <f t="shared" si="37"/>
        <v>-185712.71309000254</v>
      </c>
      <c r="AT40" s="43">
        <f t="shared" si="37"/>
        <v>-185712.71309000254</v>
      </c>
      <c r="AU40" s="43">
        <f t="shared" si="37"/>
        <v>-185712.71309000254</v>
      </c>
      <c r="AV40" s="43">
        <f t="shared" si="37"/>
        <v>-185712.71309000254</v>
      </c>
      <c r="AW40" s="43">
        <f t="shared" si="37"/>
        <v>-185712.71309000254</v>
      </c>
      <c r="AX40" s="43">
        <f t="shared" si="37"/>
        <v>-185712.71309000254</v>
      </c>
      <c r="AY40" s="43">
        <f t="shared" si="37"/>
        <v>-185712.71309000254</v>
      </c>
      <c r="AZ40" s="43">
        <f t="shared" si="37"/>
        <v>-185712.71309000254</v>
      </c>
      <c r="BA40" s="43">
        <f t="shared" si="37"/>
        <v>-185712.71309000254</v>
      </c>
      <c r="BB40" s="43">
        <f t="shared" si="37"/>
        <v>-185712.71309000254</v>
      </c>
      <c r="BC40" s="43">
        <f t="shared" si="37"/>
        <v>-191284.09448270261</v>
      </c>
      <c r="BD40" s="43">
        <f t="shared" si="37"/>
        <v>-191284.09448270261</v>
      </c>
      <c r="BE40" s="43">
        <f t="shared" si="37"/>
        <v>-191284.09448270261</v>
      </c>
      <c r="BF40" s="43">
        <f t="shared" si="37"/>
        <v>-191284.09448270261</v>
      </c>
      <c r="BG40" s="43">
        <f t="shared" si="37"/>
        <v>-191284.09448270261</v>
      </c>
      <c r="BH40" s="43">
        <f t="shared" si="37"/>
        <v>-191284.09448270261</v>
      </c>
      <c r="BI40" s="43">
        <f t="shared" si="37"/>
        <v>-191284.09448270261</v>
      </c>
      <c r="BJ40" s="43">
        <f t="shared" si="37"/>
        <v>-191284.09448270261</v>
      </c>
      <c r="BK40" s="43">
        <f t="shared" si="37"/>
        <v>-191284.09448270261</v>
      </c>
      <c r="BL40" s="43">
        <f t="shared" si="37"/>
        <v>-191284.09448270261</v>
      </c>
      <c r="BM40" s="43">
        <f t="shared" si="37"/>
        <v>-191284.09448270261</v>
      </c>
      <c r="BN40" s="43">
        <f t="shared" si="37"/>
        <v>-191284.09448270261</v>
      </c>
      <c r="BO40" s="43">
        <f t="shared" si="37"/>
        <v>-197022.61731718373</v>
      </c>
      <c r="BP40" s="43">
        <f t="shared" si="37"/>
        <v>-197022.61731718373</v>
      </c>
      <c r="BQ40" s="43">
        <f t="shared" si="37"/>
        <v>-197022.61731718373</v>
      </c>
      <c r="BR40" s="43">
        <f t="shared" si="37"/>
        <v>-197022.61731718373</v>
      </c>
      <c r="BS40" s="43">
        <f t="shared" si="37"/>
        <v>-197022.61731718373</v>
      </c>
      <c r="BT40" s="43">
        <f t="shared" ref="BT40:CL40" si="38">SUM(BT36:BT39)</f>
        <v>-197022.61731718373</v>
      </c>
      <c r="BU40" s="43">
        <f t="shared" si="38"/>
        <v>-197022.61731718373</v>
      </c>
      <c r="BV40" s="43">
        <f t="shared" si="38"/>
        <v>-197022.61731718373</v>
      </c>
      <c r="BW40" s="43">
        <f t="shared" si="38"/>
        <v>-197022.61731718373</v>
      </c>
      <c r="BX40" s="43">
        <f t="shared" si="38"/>
        <v>-197022.61731718373</v>
      </c>
      <c r="BY40" s="43">
        <f t="shared" si="38"/>
        <v>-197022.61731718373</v>
      </c>
      <c r="BZ40" s="43">
        <f t="shared" si="38"/>
        <v>-197022.61731718373</v>
      </c>
      <c r="CA40" s="43">
        <f t="shared" si="38"/>
        <v>-202933.29583669922</v>
      </c>
      <c r="CB40" s="43">
        <f t="shared" si="38"/>
        <v>-202933.29583669922</v>
      </c>
      <c r="CC40" s="43">
        <f t="shared" si="38"/>
        <v>-202933.29583669922</v>
      </c>
      <c r="CD40" s="43">
        <f t="shared" si="38"/>
        <v>-202933.29583669922</v>
      </c>
      <c r="CE40" s="43">
        <f t="shared" si="38"/>
        <v>-202933.29583669922</v>
      </c>
      <c r="CF40" s="43">
        <f t="shared" si="38"/>
        <v>-202933.29583669922</v>
      </c>
      <c r="CG40" s="43">
        <f t="shared" si="38"/>
        <v>-202933.29583669922</v>
      </c>
      <c r="CH40" s="43">
        <f t="shared" si="38"/>
        <v>-202933.29583669922</v>
      </c>
      <c r="CI40" s="43">
        <f t="shared" si="38"/>
        <v>-202933.29583669922</v>
      </c>
      <c r="CJ40" s="43">
        <f t="shared" si="38"/>
        <v>-202933.29583669922</v>
      </c>
      <c r="CK40" s="43">
        <f t="shared" si="38"/>
        <v>-202933.29583669922</v>
      </c>
      <c r="CL40" s="43">
        <f t="shared" si="38"/>
        <v>-202933.29583669922</v>
      </c>
      <c r="CM40" s="170">
        <f t="shared" ref="CM40:CQ40" si="39">SUM(CM36:CM39)</f>
        <v>-209021.29471180018</v>
      </c>
      <c r="CN40" s="170">
        <f t="shared" si="39"/>
        <v>-209021.29471180018</v>
      </c>
      <c r="CO40" s="170">
        <f t="shared" si="39"/>
        <v>-209021.29471180018</v>
      </c>
      <c r="CP40" s="170">
        <f t="shared" si="39"/>
        <v>-209021.29471180018</v>
      </c>
      <c r="CQ40" s="170">
        <f t="shared" si="39"/>
        <v>-209021.29471180018</v>
      </c>
      <c r="CR40" s="170">
        <f t="shared" ref="CR40:CX40" si="40">SUM(CR36:CR39)</f>
        <v>-209021.29471180018</v>
      </c>
      <c r="CS40" s="170">
        <f t="shared" si="40"/>
        <v>-209021.29471180018</v>
      </c>
      <c r="CT40" s="170">
        <f t="shared" si="40"/>
        <v>-209021.29471180018</v>
      </c>
      <c r="CU40" s="170">
        <f t="shared" si="40"/>
        <v>-209021.29471180018</v>
      </c>
      <c r="CV40" s="170">
        <f t="shared" si="40"/>
        <v>-209021.29471180018</v>
      </c>
      <c r="CW40" s="170">
        <f t="shared" si="40"/>
        <v>-209021.29471180018</v>
      </c>
      <c r="CX40" s="170">
        <f t="shared" si="40"/>
        <v>-209021.29471180018</v>
      </c>
    </row>
    <row r="42" spans="2:102" ht="12.6" customHeight="1" x14ac:dyDescent="0.2">
      <c r="B42" s="34" t="s">
        <v>52</v>
      </c>
      <c r="C42" s="34"/>
      <c r="D42" s="40">
        <f>Assumptions!L33</f>
        <v>-45000</v>
      </c>
      <c r="G42" s="40">
        <f>-INDEX(Assumptions!$C$52:$M$52,MATCH('DCF Model'!G5,Assumptions!$C$38:$M$38))*(G$5&gt;1)*$D$5/12</f>
        <v>0</v>
      </c>
      <c r="H42" s="40">
        <f>-INDEX(Assumptions!$C$52:$M$52,MATCH('DCF Model'!H5,Assumptions!$C$38:$M$38))*(H$5&gt;1)*$D$5/12</f>
        <v>0</v>
      </c>
      <c r="I42" s="40">
        <f>-INDEX(Assumptions!$C$52:$M$52,MATCH('DCF Model'!I5,Assumptions!$C$38:$M$38))*(I$5&gt;1)*$D$5/12</f>
        <v>0</v>
      </c>
      <c r="J42" s="40">
        <f>-INDEX(Assumptions!$C$52:$M$52,MATCH('DCF Model'!J5,Assumptions!$C$38:$M$38))*(J$5&gt;1)*$D$5/12</f>
        <v>0</v>
      </c>
      <c r="K42" s="40">
        <f>-INDEX(Assumptions!$C$52:$M$52,MATCH('DCF Model'!K5,Assumptions!$C$38:$M$38))*(K$5&gt;1)*$D$5/12</f>
        <v>0</v>
      </c>
      <c r="L42" s="40">
        <f>-INDEX(Assumptions!$C$52:$M$52,MATCH('DCF Model'!L5,Assumptions!$C$38:$M$38))*(L$5&gt;1)*$D$5/12</f>
        <v>0</v>
      </c>
      <c r="M42" s="40">
        <f>-INDEX(Assumptions!$C$52:$M$52,MATCH('DCF Model'!M5,Assumptions!$C$38:$M$38))*(M$5&gt;1)*$D$5/12</f>
        <v>0</v>
      </c>
      <c r="N42" s="40">
        <f>-INDEX(Assumptions!$C$52:$M$52,MATCH('DCF Model'!N5,Assumptions!$C$38:$M$38))*(N$5&gt;1)*$D$5/12</f>
        <v>0</v>
      </c>
      <c r="O42" s="40">
        <f>-INDEX(Assumptions!$C$52:$M$52,MATCH('DCF Model'!O5,Assumptions!$C$38:$M$38))*(O$5&gt;1)*$D$5/12</f>
        <v>0</v>
      </c>
      <c r="P42" s="40">
        <f>-INDEX(Assumptions!$C$52:$M$52,MATCH('DCF Model'!P5,Assumptions!$C$38:$M$38))*(P$5&gt;1)*$D$5/12</f>
        <v>0</v>
      </c>
      <c r="Q42" s="40">
        <f>-INDEX(Assumptions!$C$52:$M$52,MATCH('DCF Model'!Q5,Assumptions!$C$38:$M$38))*(Q$5&gt;1)*$D$5/12</f>
        <v>0</v>
      </c>
      <c r="R42" s="40">
        <f>-INDEX(Assumptions!$C$52:$M$52,MATCH('DCF Model'!R5,Assumptions!$C$38:$M$38))*(R$5&gt;1)*$D$5/12</f>
        <v>0</v>
      </c>
      <c r="S42" s="40">
        <f>-INDEX(Assumptions!$C$52:$M$52,MATCH('DCF Model'!G5,Assumptions!$C$38:$M$38))*(S$5&gt;1)*$D$5/12</f>
        <v>-5000</v>
      </c>
      <c r="T42" s="40">
        <f>-INDEX(Assumptions!$C$52:$M$52,MATCH('DCF Model'!H5,Assumptions!$C$38:$M$38))*(T$5&gt;1)*$D$5/12</f>
        <v>-5000</v>
      </c>
      <c r="U42" s="40">
        <f>-INDEX(Assumptions!$C$52:$M$52,MATCH('DCF Model'!I5,Assumptions!$C$38:$M$38))*(U$5&gt;1)*$D$5/12</f>
        <v>-5000</v>
      </c>
      <c r="V42" s="40">
        <f>-INDEX(Assumptions!$C$52:$M$52,MATCH('DCF Model'!J5,Assumptions!$C$38:$M$38))*(V$5&gt;1)*$D$5/12</f>
        <v>-5000</v>
      </c>
      <c r="W42" s="40">
        <f>-INDEX(Assumptions!$C$52:$M$52,MATCH('DCF Model'!K5,Assumptions!$C$38:$M$38))*(W$5&gt;1)*$D$5/12</f>
        <v>-5000</v>
      </c>
      <c r="X42" s="40">
        <f>-INDEX(Assumptions!$C$52:$M$52,MATCH('DCF Model'!L5,Assumptions!$C$38:$M$38))*(X$5&gt;1)*$D$5/12</f>
        <v>-5000</v>
      </c>
      <c r="Y42" s="40">
        <f>-INDEX(Assumptions!$C$52:$M$52,MATCH('DCF Model'!M5,Assumptions!$C$38:$M$38))*(Y$5&gt;1)*$D$5/12</f>
        <v>-5000</v>
      </c>
      <c r="Z42" s="40">
        <f>-INDEX(Assumptions!$C$52:$M$52,MATCH('DCF Model'!N5,Assumptions!$C$38:$M$38))*(Z$5&gt;1)*$D$5/12</f>
        <v>-5000</v>
      </c>
      <c r="AA42" s="40">
        <f>-INDEX(Assumptions!$C$52:$M$52,MATCH('DCF Model'!O5,Assumptions!$C$38:$M$38))*(AA$5&gt;1)*$D$5/12</f>
        <v>-5000</v>
      </c>
      <c r="AB42" s="40">
        <f>-INDEX(Assumptions!$C$52:$M$52,MATCH('DCF Model'!P5,Assumptions!$C$38:$M$38))*(AB$5&gt;1)*$D$5/12</f>
        <v>-5000</v>
      </c>
      <c r="AC42" s="40">
        <f>-INDEX(Assumptions!$C$52:$M$52,MATCH('DCF Model'!Q5,Assumptions!$C$38:$M$38))*(AC$5&gt;1)*$D$5/12</f>
        <v>-5000</v>
      </c>
      <c r="AD42" s="40">
        <f>-INDEX(Assumptions!$C$52:$M$52,MATCH('DCF Model'!R5,Assumptions!$C$38:$M$38))*(AD$5&gt;1)*$D$5/12</f>
        <v>-5000</v>
      </c>
      <c r="AE42" s="40">
        <f>-INDEX(Assumptions!$C$52:$M$52,MATCH('DCF Model'!S5,Assumptions!$C$38:$M$38))*(AE$5&gt;1)*$D$5/12</f>
        <v>-5100</v>
      </c>
      <c r="AF42" s="40">
        <f>-INDEX(Assumptions!$C$52:$M$52,MATCH('DCF Model'!T5,Assumptions!$C$38:$M$38))*(AF$5&gt;1)*$D$5/12</f>
        <v>-5100</v>
      </c>
      <c r="AG42" s="40">
        <f>-INDEX(Assumptions!$C$52:$M$52,MATCH('DCF Model'!U5,Assumptions!$C$38:$M$38))*(AG$5&gt;1)*$D$5/12</f>
        <v>-5100</v>
      </c>
      <c r="AH42" s="40">
        <f>-INDEX(Assumptions!$C$52:$M$52,MATCH('DCF Model'!V5,Assumptions!$C$38:$M$38))*(AH$5&gt;1)*$D$5/12</f>
        <v>-5100</v>
      </c>
      <c r="AI42" s="40">
        <f>-INDEX(Assumptions!$C$52:$M$52,MATCH('DCF Model'!W5,Assumptions!$C$38:$M$38))*(AI$5&gt;1)*$D$5/12</f>
        <v>-5100</v>
      </c>
      <c r="AJ42" s="40">
        <f>-INDEX(Assumptions!$C$52:$M$52,MATCH('DCF Model'!X5,Assumptions!$C$38:$M$38))*(AJ$5&gt;1)*$D$5/12</f>
        <v>-5100</v>
      </c>
      <c r="AK42" s="40">
        <f>-INDEX(Assumptions!$C$52:$M$52,MATCH('DCF Model'!Y5,Assumptions!$C$38:$M$38))*(AK$5&gt;1)*$D$5/12</f>
        <v>-5100</v>
      </c>
      <c r="AL42" s="40">
        <f>-INDEX(Assumptions!$C$52:$M$52,MATCH('DCF Model'!Z5,Assumptions!$C$38:$M$38))*(AL$5&gt;1)*$D$5/12</f>
        <v>-5100</v>
      </c>
      <c r="AM42" s="40">
        <f>-INDEX(Assumptions!$C$52:$M$52,MATCH('DCF Model'!AA5,Assumptions!$C$38:$M$38))*(AM$5&gt;1)*$D$5/12</f>
        <v>-5100</v>
      </c>
      <c r="AN42" s="40">
        <f>-INDEX(Assumptions!$C$52:$M$52,MATCH('DCF Model'!AB5,Assumptions!$C$38:$M$38))*(AN$5&gt;1)*$D$5/12</f>
        <v>-5100</v>
      </c>
      <c r="AO42" s="40">
        <f>-INDEX(Assumptions!$C$52:$M$52,MATCH('DCF Model'!AC5,Assumptions!$C$38:$M$38))*(AO$5&gt;1)*$D$5/12</f>
        <v>-5100</v>
      </c>
      <c r="AP42" s="40">
        <f>-INDEX(Assumptions!$C$52:$M$52,MATCH('DCF Model'!AD5,Assumptions!$C$38:$M$38))*(AP$5&gt;1)*$D$5/12</f>
        <v>-5100</v>
      </c>
      <c r="AQ42" s="40">
        <f>-INDEX(Assumptions!$C$52:$M$52,MATCH('DCF Model'!AE5,Assumptions!$C$38:$M$38))*(AQ$5&gt;1)*$D$5/12</f>
        <v>-5200</v>
      </c>
      <c r="AR42" s="40">
        <f>-INDEX(Assumptions!$C$52:$M$52,MATCH('DCF Model'!AF5,Assumptions!$C$38:$M$38))*(AR$5&gt;1)*$D$5/12</f>
        <v>-5200</v>
      </c>
      <c r="AS42" s="40">
        <f>-INDEX(Assumptions!$C$52:$M$52,MATCH('DCF Model'!AG5,Assumptions!$C$38:$M$38))*(AS$5&gt;1)*$D$5/12</f>
        <v>-5200</v>
      </c>
      <c r="AT42" s="40">
        <f>-INDEX(Assumptions!$C$52:$M$52,MATCH('DCF Model'!AH5,Assumptions!$C$38:$M$38))*(AT$5&gt;1)*$D$5/12</f>
        <v>-5200</v>
      </c>
      <c r="AU42" s="40">
        <f>-INDEX(Assumptions!$C$52:$M$52,MATCH('DCF Model'!AI5,Assumptions!$C$38:$M$38))*(AU$5&gt;1)*$D$5/12</f>
        <v>-5200</v>
      </c>
      <c r="AV42" s="40">
        <f>-INDEX(Assumptions!$C$52:$M$52,MATCH('DCF Model'!AJ5,Assumptions!$C$38:$M$38))*(AV$5&gt;1)*$D$5/12</f>
        <v>-5200</v>
      </c>
      <c r="AW42" s="40">
        <f>-INDEX(Assumptions!$C$52:$M$52,MATCH('DCF Model'!AK5,Assumptions!$C$38:$M$38))*(AW$5&gt;1)*$D$5/12</f>
        <v>-5200</v>
      </c>
      <c r="AX42" s="40">
        <f>-INDEX(Assumptions!$C$52:$M$52,MATCH('DCF Model'!AL5,Assumptions!$C$38:$M$38))*(AX$5&gt;1)*$D$5/12</f>
        <v>-5200</v>
      </c>
      <c r="AY42" s="40">
        <f>-INDEX(Assumptions!$C$52:$M$52,MATCH('DCF Model'!AM5,Assumptions!$C$38:$M$38))*(AY$5&gt;1)*$D$5/12</f>
        <v>-5200</v>
      </c>
      <c r="AZ42" s="40">
        <f>-INDEX(Assumptions!$C$52:$M$52,MATCH('DCF Model'!AN5,Assumptions!$C$38:$M$38))*(AZ$5&gt;1)*$D$5/12</f>
        <v>-5200</v>
      </c>
      <c r="BA42" s="40">
        <f>-INDEX(Assumptions!$C$52:$M$52,MATCH('DCF Model'!AO5,Assumptions!$C$38:$M$38))*(BA$5&gt;1)*$D$5/12</f>
        <v>-5200</v>
      </c>
      <c r="BB42" s="40">
        <f>-INDEX(Assumptions!$C$52:$M$52,MATCH('DCF Model'!AP5,Assumptions!$C$38:$M$38))*(BB$5&gt;1)*$D$5/12</f>
        <v>-5200</v>
      </c>
      <c r="BC42" s="40">
        <f>-INDEX(Assumptions!$C$52:$M$52,MATCH('DCF Model'!AQ5,Assumptions!$C$38:$M$38))*(BC$5&gt;1)*$D$5/12</f>
        <v>-5300</v>
      </c>
      <c r="BD42" s="40">
        <f>-INDEX(Assumptions!$C$52:$M$52,MATCH('DCF Model'!AR5,Assumptions!$C$38:$M$38))*(BD$5&gt;1)*$D$5/12</f>
        <v>-5300</v>
      </c>
      <c r="BE42" s="40">
        <f>-INDEX(Assumptions!$C$52:$M$52,MATCH('DCF Model'!AS5,Assumptions!$C$38:$M$38))*(BE$5&gt;1)*$D$5/12</f>
        <v>-5300</v>
      </c>
      <c r="BF42" s="40">
        <f>-INDEX(Assumptions!$C$52:$M$52,MATCH('DCF Model'!AT5,Assumptions!$C$38:$M$38))*(BF$5&gt;1)*$D$5/12</f>
        <v>-5300</v>
      </c>
      <c r="BG42" s="40">
        <f>-INDEX(Assumptions!$C$52:$M$52,MATCH('DCF Model'!AU5,Assumptions!$C$38:$M$38))*(BG$5&gt;1)*$D$5/12</f>
        <v>-5300</v>
      </c>
      <c r="BH42" s="40">
        <f>-INDEX(Assumptions!$C$52:$M$52,MATCH('DCF Model'!AV5,Assumptions!$C$38:$M$38))*(BH$5&gt;1)*$D$5/12</f>
        <v>-5300</v>
      </c>
      <c r="BI42" s="40">
        <f>-INDEX(Assumptions!$C$52:$M$52,MATCH('DCF Model'!AW5,Assumptions!$C$38:$M$38))*(BI$5&gt;1)*$D$5/12</f>
        <v>-5300</v>
      </c>
      <c r="BJ42" s="40">
        <f>-INDEX(Assumptions!$C$52:$M$52,MATCH('DCF Model'!AX5,Assumptions!$C$38:$M$38))*(BJ$5&gt;1)*$D$5/12</f>
        <v>-5300</v>
      </c>
      <c r="BK42" s="40">
        <f>-INDEX(Assumptions!$C$52:$M$52,MATCH('DCF Model'!AY5,Assumptions!$C$38:$M$38))*(BK$5&gt;1)*$D$5/12</f>
        <v>-5300</v>
      </c>
      <c r="BL42" s="40">
        <f>-INDEX(Assumptions!$C$52:$M$52,MATCH('DCF Model'!AZ5,Assumptions!$C$38:$M$38))*(BL$5&gt;1)*$D$5/12</f>
        <v>-5300</v>
      </c>
      <c r="BM42" s="40">
        <f>-INDEX(Assumptions!$C$52:$M$52,MATCH('DCF Model'!BA5,Assumptions!$C$38:$M$38))*(BM$5&gt;1)*$D$5/12</f>
        <v>-5300</v>
      </c>
      <c r="BN42" s="40">
        <f>-INDEX(Assumptions!$C$52:$M$52,MATCH('DCF Model'!BB5,Assumptions!$C$38:$M$38))*(BN$5&gt;1)*$D$5/12</f>
        <v>-5300</v>
      </c>
      <c r="BO42" s="40">
        <f>-INDEX(Assumptions!$C$52:$M$52,MATCH('DCF Model'!BC5,Assumptions!$C$38:$M$38))*(BO$5&gt;1)*$D$5/12</f>
        <v>-5400</v>
      </c>
      <c r="BP42" s="40">
        <f>-INDEX(Assumptions!$C$52:$M$52,MATCH('DCF Model'!BD5,Assumptions!$C$38:$M$38))*(BP$5&gt;1)*$D$5/12</f>
        <v>-5400</v>
      </c>
      <c r="BQ42" s="40">
        <f>-INDEX(Assumptions!$C$52:$M$52,MATCH('DCF Model'!BE5,Assumptions!$C$38:$M$38))*(BQ$5&gt;1)*$D$5/12</f>
        <v>-5400</v>
      </c>
      <c r="BR42" s="40">
        <f>-INDEX(Assumptions!$C$52:$M$52,MATCH('DCF Model'!BF5,Assumptions!$C$38:$M$38))*(BR$5&gt;1)*$D$5/12</f>
        <v>-5400</v>
      </c>
      <c r="BS42" s="40">
        <f>-INDEX(Assumptions!$C$52:$M$52,MATCH('DCF Model'!BG5,Assumptions!$C$38:$M$38))*(BS$5&gt;1)*$D$5/12</f>
        <v>-5400</v>
      </c>
      <c r="BT42" s="40">
        <f>-INDEX(Assumptions!$C$52:$M$52,MATCH('DCF Model'!BH5,Assumptions!$C$38:$M$38))*(BT$5&gt;1)*$D$5/12</f>
        <v>-5400</v>
      </c>
      <c r="BU42" s="40">
        <f>-INDEX(Assumptions!$C$52:$M$52,MATCH('DCF Model'!BI5,Assumptions!$C$38:$M$38))*(BU$5&gt;1)*$D$5/12</f>
        <v>-5400</v>
      </c>
      <c r="BV42" s="40">
        <f>-INDEX(Assumptions!$C$52:$M$52,MATCH('DCF Model'!BJ5,Assumptions!$C$38:$M$38))*(BV$5&gt;1)*$D$5/12</f>
        <v>-5400</v>
      </c>
      <c r="BW42" s="40">
        <f>-INDEX(Assumptions!$C$52:$M$52,MATCH('DCF Model'!BK5,Assumptions!$C$38:$M$38))*(BW$5&gt;1)*$D$5/12</f>
        <v>-5400</v>
      </c>
      <c r="BX42" s="40">
        <f>-INDEX(Assumptions!$C$52:$M$52,MATCH('DCF Model'!BL5,Assumptions!$C$38:$M$38))*(BX$5&gt;1)*$D$5/12</f>
        <v>-5400</v>
      </c>
      <c r="BY42" s="40">
        <f>-INDEX(Assumptions!$C$52:$M$52,MATCH('DCF Model'!BM5,Assumptions!$C$38:$M$38))*(BY$5&gt;1)*$D$5/12</f>
        <v>-5400</v>
      </c>
      <c r="BZ42" s="40">
        <f>-INDEX(Assumptions!$C$52:$M$52,MATCH('DCF Model'!BN5,Assumptions!$C$38:$M$38))*(BZ$5&gt;1)*$D$5/12</f>
        <v>-5400</v>
      </c>
      <c r="CA42" s="40">
        <f>-INDEX(Assumptions!$C$52:$M$52,MATCH('DCF Model'!BO5,Assumptions!$C$38:$M$38))*(CA$5&gt;1)*$D$5/12</f>
        <v>-5525</v>
      </c>
      <c r="CB42" s="40">
        <f>-INDEX(Assumptions!$C$52:$M$52,MATCH('DCF Model'!BP5,Assumptions!$C$38:$M$38))*(CB$5&gt;1)*$D$5/12</f>
        <v>-5525</v>
      </c>
      <c r="CC42" s="40">
        <f>-INDEX(Assumptions!$C$52:$M$52,MATCH('DCF Model'!BQ5,Assumptions!$C$38:$M$38))*(CC$5&gt;1)*$D$5/12</f>
        <v>-5525</v>
      </c>
      <c r="CD42" s="40">
        <f>-INDEX(Assumptions!$C$52:$M$52,MATCH('DCF Model'!BR5,Assumptions!$C$38:$M$38))*(CD$5&gt;1)*$D$5/12</f>
        <v>-5525</v>
      </c>
      <c r="CE42" s="40">
        <f>-INDEX(Assumptions!$C$52:$M$52,MATCH('DCF Model'!BS5,Assumptions!$C$38:$M$38))*(CE$5&gt;1)*$D$5/12</f>
        <v>-5525</v>
      </c>
      <c r="CF42" s="40">
        <f>-INDEX(Assumptions!$C$52:$M$52,MATCH('DCF Model'!BT5,Assumptions!$C$38:$M$38))*(CF$5&gt;1)*$D$5/12</f>
        <v>-5525</v>
      </c>
      <c r="CG42" s="40">
        <f>-INDEX(Assumptions!$C$52:$M$52,MATCH('DCF Model'!BU5,Assumptions!$C$38:$M$38))*(CG$5&gt;1)*$D$5/12</f>
        <v>-5525</v>
      </c>
      <c r="CH42" s="40">
        <f>-INDEX(Assumptions!$C$52:$M$52,MATCH('DCF Model'!BV5,Assumptions!$C$38:$M$38))*(CH$5&gt;1)*$D$5/12</f>
        <v>-5525</v>
      </c>
      <c r="CI42" s="40">
        <f>-INDEX(Assumptions!$C$52:$M$52,MATCH('DCF Model'!BW5,Assumptions!$C$38:$M$38))*(CI$5&gt;1)*$D$5/12</f>
        <v>-5525</v>
      </c>
      <c r="CJ42" s="40">
        <f>-INDEX(Assumptions!$C$52:$M$52,MATCH('DCF Model'!BX5,Assumptions!$C$38:$M$38))*(CJ$5&gt;1)*$D$5/12</f>
        <v>-5525</v>
      </c>
      <c r="CK42" s="40">
        <f>-INDEX(Assumptions!$C$52:$M$52,MATCH('DCF Model'!BY5,Assumptions!$C$38:$M$38))*(CK$5&gt;1)*$D$5/12</f>
        <v>-5525</v>
      </c>
      <c r="CL42" s="40">
        <f>-INDEX(Assumptions!$C$52:$M$52,MATCH('DCF Model'!BZ5,Assumptions!$C$38:$M$38))*(CL$5&gt;1)*$D$5/12</f>
        <v>-5525</v>
      </c>
      <c r="CM42" s="119">
        <f>-INDEX(Assumptions!$C$52:$M$52,MATCH('DCF Model'!CA5,Assumptions!$C$38:$M$38))*(CM$5&gt;1)*$D$5/12</f>
        <v>-5625</v>
      </c>
      <c r="CN42" s="119">
        <f>-INDEX(Assumptions!$C$52:$M$52,MATCH('DCF Model'!CB5,Assumptions!$C$38:$M$38))*(CN$5&gt;1)*$D$5/12</f>
        <v>-5625</v>
      </c>
      <c r="CO42" s="119">
        <f>-INDEX(Assumptions!$C$52:$M$52,MATCH('DCF Model'!CC5,Assumptions!$C$38:$M$38))*(CO$5&gt;1)*$D$5/12</f>
        <v>-5625</v>
      </c>
      <c r="CP42" s="119">
        <f>-INDEX(Assumptions!$C$52:$M$52,MATCH('DCF Model'!CD5,Assumptions!$C$38:$M$38))*(CP$5&gt;1)*$D$5/12</f>
        <v>-5625</v>
      </c>
      <c r="CQ42" s="119">
        <f>-INDEX(Assumptions!$C$52:$M$52,MATCH('DCF Model'!CE5,Assumptions!$C$38:$M$38))*(CQ$5&gt;1)*$D$5/12</f>
        <v>-5625</v>
      </c>
      <c r="CR42" s="119">
        <f>-INDEX(Assumptions!$C$52:$M$52,MATCH('DCF Model'!CF5,Assumptions!$C$38:$M$38))*(CR$5&gt;1)*$D$5/12</f>
        <v>-5625</v>
      </c>
      <c r="CS42" s="119">
        <f>-INDEX(Assumptions!$C$52:$M$52,MATCH('DCF Model'!CG5,Assumptions!$C$38:$M$38))*(CS$5&gt;1)*$D$5/12</f>
        <v>-5625</v>
      </c>
      <c r="CT42" s="119">
        <f>-INDEX(Assumptions!$C$52:$M$52,MATCH('DCF Model'!CH5,Assumptions!$C$38:$M$38))*(CT$5&gt;1)*$D$5/12</f>
        <v>-5625</v>
      </c>
      <c r="CU42" s="119">
        <f>-INDEX(Assumptions!$C$52:$M$52,MATCH('DCF Model'!CI5,Assumptions!$C$38:$M$38))*(CU$5&gt;1)*$D$5/12</f>
        <v>-5625</v>
      </c>
      <c r="CV42" s="119">
        <f>-INDEX(Assumptions!$C$52:$M$52,MATCH('DCF Model'!CJ5,Assumptions!$C$38:$M$38))*(CV$5&gt;1)*$D$5/12</f>
        <v>-5625</v>
      </c>
      <c r="CW42" s="119">
        <f>-INDEX(Assumptions!$C$52:$M$52,MATCH('DCF Model'!CK5,Assumptions!$C$38:$M$38))*(CW$5&gt;1)*$D$5/12</f>
        <v>-5625</v>
      </c>
      <c r="CX42" s="119">
        <f>-INDEX(Assumptions!$C$52:$M$52,MATCH('DCF Model'!CL5,Assumptions!$C$38:$M$38))*(CX$5&gt;1)*$D$5/12</f>
        <v>-5625</v>
      </c>
    </row>
    <row r="43" spans="2:102" ht="12.6" customHeight="1" x14ac:dyDescent="0.2">
      <c r="B43" s="63" t="s">
        <v>55</v>
      </c>
      <c r="C43" s="62"/>
      <c r="D43" s="61">
        <f>D26+D40+D42</f>
        <v>1079221</v>
      </c>
      <c r="E43" s="42"/>
      <c r="F43" s="42"/>
      <c r="G43" s="43">
        <f>G26+G40+G42</f>
        <v>102912.82166666666</v>
      </c>
      <c r="H43" s="43">
        <f t="shared" ref="H43:BS43" si="41">H26+H40+H42</f>
        <v>102912.82166666666</v>
      </c>
      <c r="I43" s="43">
        <f t="shared" si="41"/>
        <v>102912.82166666666</v>
      </c>
      <c r="J43" s="43">
        <f t="shared" si="41"/>
        <v>102912.82166666666</v>
      </c>
      <c r="K43" s="43">
        <f t="shared" si="41"/>
        <v>102912.82166666666</v>
      </c>
      <c r="L43" s="43">
        <f t="shared" si="41"/>
        <v>102912.82166666666</v>
      </c>
      <c r="M43" s="43">
        <f t="shared" si="41"/>
        <v>102912.82166666666</v>
      </c>
      <c r="N43" s="43">
        <f t="shared" si="41"/>
        <v>102912.82166666666</v>
      </c>
      <c r="O43" s="43">
        <f t="shared" si="41"/>
        <v>102912.82166666666</v>
      </c>
      <c r="P43" s="43">
        <f t="shared" si="41"/>
        <v>102912.82166666666</v>
      </c>
      <c r="Q43" s="43">
        <f t="shared" si="41"/>
        <v>102912.82166666666</v>
      </c>
      <c r="R43" s="43">
        <f t="shared" si="41"/>
        <v>102912.82166666666</v>
      </c>
      <c r="S43" s="43">
        <f t="shared" si="41"/>
        <v>143647.62037916668</v>
      </c>
      <c r="T43" s="43">
        <f t="shared" si="41"/>
        <v>143647.62037916668</v>
      </c>
      <c r="U43" s="43">
        <f t="shared" si="41"/>
        <v>143647.62037916668</v>
      </c>
      <c r="V43" s="43">
        <f t="shared" si="41"/>
        <v>143647.62037916668</v>
      </c>
      <c r="W43" s="43">
        <f t="shared" si="41"/>
        <v>143647.62037916668</v>
      </c>
      <c r="X43" s="43">
        <f t="shared" si="41"/>
        <v>143647.62037916668</v>
      </c>
      <c r="Y43" s="43">
        <f t="shared" si="41"/>
        <v>143647.62037916668</v>
      </c>
      <c r="Z43" s="43">
        <f t="shared" si="41"/>
        <v>143647.62037916668</v>
      </c>
      <c r="AA43" s="43">
        <f t="shared" si="41"/>
        <v>143647.62037916668</v>
      </c>
      <c r="AB43" s="43">
        <f t="shared" si="41"/>
        <v>143647.62037916668</v>
      </c>
      <c r="AC43" s="43">
        <f t="shared" si="41"/>
        <v>143647.62037916668</v>
      </c>
      <c r="AD43" s="43">
        <f t="shared" si="41"/>
        <v>143647.62037916668</v>
      </c>
      <c r="AE43" s="43">
        <f t="shared" si="41"/>
        <v>196817.86578741667</v>
      </c>
      <c r="AF43" s="43">
        <f t="shared" si="41"/>
        <v>196817.86578741667</v>
      </c>
      <c r="AG43" s="43">
        <f t="shared" si="41"/>
        <v>196817.86578741667</v>
      </c>
      <c r="AH43" s="43">
        <f t="shared" si="41"/>
        <v>196817.86578741667</v>
      </c>
      <c r="AI43" s="43">
        <f t="shared" si="41"/>
        <v>196817.86578741667</v>
      </c>
      <c r="AJ43" s="43">
        <f t="shared" si="41"/>
        <v>196817.86578741667</v>
      </c>
      <c r="AK43" s="43">
        <f t="shared" si="41"/>
        <v>196817.86578741667</v>
      </c>
      <c r="AL43" s="43">
        <f t="shared" si="41"/>
        <v>196817.86578741667</v>
      </c>
      <c r="AM43" s="43">
        <f t="shared" si="41"/>
        <v>196817.86578741667</v>
      </c>
      <c r="AN43" s="43">
        <f t="shared" si="41"/>
        <v>196817.86578741667</v>
      </c>
      <c r="AO43" s="43">
        <f t="shared" si="41"/>
        <v>196817.86578741667</v>
      </c>
      <c r="AP43" s="43">
        <f t="shared" si="41"/>
        <v>196817.86578741667</v>
      </c>
      <c r="AQ43" s="43">
        <f t="shared" si="41"/>
        <v>209040.2270891642</v>
      </c>
      <c r="AR43" s="43">
        <f t="shared" si="41"/>
        <v>209040.2270891642</v>
      </c>
      <c r="AS43" s="43">
        <f t="shared" si="41"/>
        <v>209040.2270891642</v>
      </c>
      <c r="AT43" s="43">
        <f t="shared" si="41"/>
        <v>209040.2270891642</v>
      </c>
      <c r="AU43" s="43">
        <f t="shared" si="41"/>
        <v>209040.2270891642</v>
      </c>
      <c r="AV43" s="43">
        <f t="shared" si="41"/>
        <v>209040.2270891642</v>
      </c>
      <c r="AW43" s="43">
        <f t="shared" si="41"/>
        <v>209040.2270891642</v>
      </c>
      <c r="AX43" s="43">
        <f t="shared" si="41"/>
        <v>209040.2270891642</v>
      </c>
      <c r="AY43" s="43">
        <f t="shared" si="41"/>
        <v>209040.2270891642</v>
      </c>
      <c r="AZ43" s="43">
        <f t="shared" si="41"/>
        <v>209040.2270891642</v>
      </c>
      <c r="BA43" s="43">
        <f t="shared" si="41"/>
        <v>209040.2270891642</v>
      </c>
      <c r="BB43" s="43">
        <f t="shared" si="41"/>
        <v>209040.2270891642</v>
      </c>
      <c r="BC43" s="43">
        <f t="shared" si="41"/>
        <v>215367.43390183902</v>
      </c>
      <c r="BD43" s="43">
        <f t="shared" si="41"/>
        <v>215367.43390183902</v>
      </c>
      <c r="BE43" s="43">
        <f t="shared" si="41"/>
        <v>215367.43390183902</v>
      </c>
      <c r="BF43" s="43">
        <f t="shared" si="41"/>
        <v>215367.43390183902</v>
      </c>
      <c r="BG43" s="43">
        <f t="shared" si="41"/>
        <v>215367.43390183902</v>
      </c>
      <c r="BH43" s="43">
        <f t="shared" si="41"/>
        <v>215367.43390183902</v>
      </c>
      <c r="BI43" s="43">
        <f t="shared" si="41"/>
        <v>215367.43390183902</v>
      </c>
      <c r="BJ43" s="43">
        <f t="shared" si="41"/>
        <v>215367.43390183902</v>
      </c>
      <c r="BK43" s="43">
        <f t="shared" si="41"/>
        <v>215367.43390183902</v>
      </c>
      <c r="BL43" s="43">
        <f t="shared" si="41"/>
        <v>215367.43390183902</v>
      </c>
      <c r="BM43" s="43">
        <f t="shared" si="41"/>
        <v>215367.43390183902</v>
      </c>
      <c r="BN43" s="43">
        <f t="shared" si="41"/>
        <v>215367.43390183902</v>
      </c>
      <c r="BO43" s="43">
        <f t="shared" si="41"/>
        <v>221887.45691889428</v>
      </c>
      <c r="BP43" s="43">
        <f t="shared" si="41"/>
        <v>221887.45691889428</v>
      </c>
      <c r="BQ43" s="43">
        <f t="shared" si="41"/>
        <v>221887.45691889428</v>
      </c>
      <c r="BR43" s="43">
        <f t="shared" si="41"/>
        <v>221887.45691889428</v>
      </c>
      <c r="BS43" s="43">
        <f t="shared" si="41"/>
        <v>221887.45691889428</v>
      </c>
      <c r="BT43" s="43">
        <f t="shared" ref="BT43:CL43" si="42">BT26+BT40+BT42</f>
        <v>221887.45691889428</v>
      </c>
      <c r="BU43" s="43">
        <f t="shared" si="42"/>
        <v>221887.45691889428</v>
      </c>
      <c r="BV43" s="43">
        <f t="shared" si="42"/>
        <v>221887.45691889428</v>
      </c>
      <c r="BW43" s="43">
        <f t="shared" si="42"/>
        <v>221887.45691889428</v>
      </c>
      <c r="BX43" s="43">
        <f t="shared" si="42"/>
        <v>221887.45691889428</v>
      </c>
      <c r="BY43" s="43">
        <f t="shared" si="42"/>
        <v>221887.45691889428</v>
      </c>
      <c r="BZ43" s="43">
        <f t="shared" si="42"/>
        <v>221887.45691889428</v>
      </c>
      <c r="CA43" s="43">
        <f t="shared" si="42"/>
        <v>228581.0806264611</v>
      </c>
      <c r="CB43" s="43">
        <f t="shared" si="42"/>
        <v>228581.0806264611</v>
      </c>
      <c r="CC43" s="43">
        <f t="shared" si="42"/>
        <v>228581.0806264611</v>
      </c>
      <c r="CD43" s="43">
        <f t="shared" si="42"/>
        <v>228581.0806264611</v>
      </c>
      <c r="CE43" s="43">
        <f t="shared" si="42"/>
        <v>228581.0806264611</v>
      </c>
      <c r="CF43" s="43">
        <f t="shared" si="42"/>
        <v>228581.0806264611</v>
      </c>
      <c r="CG43" s="43">
        <f t="shared" si="42"/>
        <v>228581.0806264611</v>
      </c>
      <c r="CH43" s="43">
        <f t="shared" si="42"/>
        <v>228581.0806264611</v>
      </c>
      <c r="CI43" s="43">
        <f t="shared" si="42"/>
        <v>228581.0806264611</v>
      </c>
      <c r="CJ43" s="43">
        <f t="shared" si="42"/>
        <v>228581.0806264611</v>
      </c>
      <c r="CK43" s="43">
        <f t="shared" si="42"/>
        <v>228581.0806264611</v>
      </c>
      <c r="CL43" s="43">
        <f t="shared" si="42"/>
        <v>228581.0806264611</v>
      </c>
      <c r="CM43" s="170">
        <f t="shared" ref="CM43:CQ43" si="43">CM26+CM40+CM42</f>
        <v>235504.2630452548</v>
      </c>
      <c r="CN43" s="170">
        <f t="shared" si="43"/>
        <v>235504.2630452548</v>
      </c>
      <c r="CO43" s="170">
        <f t="shared" si="43"/>
        <v>235504.2630452548</v>
      </c>
      <c r="CP43" s="170">
        <f t="shared" si="43"/>
        <v>235504.2630452548</v>
      </c>
      <c r="CQ43" s="170">
        <f t="shared" si="43"/>
        <v>235504.2630452548</v>
      </c>
      <c r="CR43" s="170">
        <f t="shared" ref="CR43" si="44">CR26+CR40+CR42</f>
        <v>235504.2630452548</v>
      </c>
      <c r="CS43" s="170">
        <f t="shared" ref="CS43" si="45">CS26+CS40+CS42</f>
        <v>235504.2630452548</v>
      </c>
      <c r="CT43" s="170">
        <f t="shared" ref="CT43" si="46">CT26+CT40+CT42</f>
        <v>235504.2630452548</v>
      </c>
      <c r="CU43" s="170">
        <f t="shared" ref="CU43" si="47">CU26+CU40+CU42</f>
        <v>235504.2630452548</v>
      </c>
      <c r="CV43" s="170">
        <f t="shared" ref="CV43" si="48">CV26+CV40+CV42</f>
        <v>235504.2630452548</v>
      </c>
      <c r="CW43" s="170">
        <f t="shared" ref="CW43" si="49">CW26+CW40+CW42</f>
        <v>235504.2630452548</v>
      </c>
      <c r="CX43" s="170">
        <f t="shared" ref="CX43" si="50">CX26+CX40+CX42</f>
        <v>235504.2630452548</v>
      </c>
    </row>
    <row r="45" spans="2:102" ht="12.6" customHeight="1" x14ac:dyDescent="0.2">
      <c r="B45" s="34" t="s">
        <v>58</v>
      </c>
      <c r="C45" s="34"/>
      <c r="D45" s="40">
        <f>Assumptions!L35</f>
        <v>-35000</v>
      </c>
      <c r="G45" s="40">
        <f>-INDEX(Assumptions!$C$53:$M$53,MATCH('DCF Model'!G5,Assumptions!$C$38:$M$38))*(G$5&lt;&gt;F$5)</f>
        <v>-50000</v>
      </c>
      <c r="H45" s="40">
        <f>-INDEX(Assumptions!$C$53:$M$53,MATCH('DCF Model'!H5,Assumptions!$C$38:$M$38))*(H$5&lt;&gt;G$5)</f>
        <v>0</v>
      </c>
      <c r="I45" s="40">
        <f>-INDEX(Assumptions!$C$53:$M$53,MATCH('DCF Model'!I5,Assumptions!$C$38:$M$38))*(I$5&lt;&gt;H$5)</f>
        <v>0</v>
      </c>
      <c r="J45" s="40">
        <f>-INDEX(Assumptions!$C$53:$M$53,MATCH('DCF Model'!J5,Assumptions!$C$38:$M$38))*(J$5&lt;&gt;I$5)</f>
        <v>0</v>
      </c>
      <c r="K45" s="40">
        <f>-INDEX(Assumptions!$C$53:$M$53,MATCH('DCF Model'!K5,Assumptions!$C$38:$M$38))*(K$5&lt;&gt;J$5)</f>
        <v>0</v>
      </c>
      <c r="L45" s="40">
        <f>-INDEX(Assumptions!$C$53:$M$53,MATCH('DCF Model'!L5,Assumptions!$C$38:$M$38))*(L$5&lt;&gt;K$5)</f>
        <v>0</v>
      </c>
      <c r="M45" s="40">
        <f>-INDEX(Assumptions!$C$53:$M$53,MATCH('DCF Model'!M5,Assumptions!$C$38:$M$38))*(M$5&lt;&gt;L$5)</f>
        <v>0</v>
      </c>
      <c r="N45" s="40">
        <f>-INDEX(Assumptions!$C$53:$M$53,MATCH('DCF Model'!N5,Assumptions!$C$38:$M$38))*(N$5&lt;&gt;M$5)</f>
        <v>0</v>
      </c>
      <c r="O45" s="40">
        <f>-INDEX(Assumptions!$C$53:$M$53,MATCH('DCF Model'!O5,Assumptions!$C$38:$M$38))*(O$5&lt;&gt;N$5)</f>
        <v>0</v>
      </c>
      <c r="P45" s="40">
        <f>-INDEX(Assumptions!$C$53:$M$53,MATCH('DCF Model'!P5,Assumptions!$C$38:$M$38))*(P$5&lt;&gt;O$5)</f>
        <v>0</v>
      </c>
      <c r="Q45" s="40">
        <f>-INDEX(Assumptions!$C$53:$M$53,MATCH('DCF Model'!Q5,Assumptions!$C$38:$M$38))*(Q$5&lt;&gt;P$5)</f>
        <v>0</v>
      </c>
      <c r="R45" s="40">
        <f>-INDEX(Assumptions!$C$53:$M$53,MATCH('DCF Model'!R5,Assumptions!$C$38:$M$38))*(R$5&lt;&gt;Q$5)</f>
        <v>0</v>
      </c>
      <c r="S45" s="40">
        <f>-INDEX(Assumptions!$C$53:$M$53,MATCH('DCF Model'!S5,Assumptions!$C$38:$M$38))*(S$5&lt;&gt;R$5)</f>
        <v>0</v>
      </c>
      <c r="T45" s="40">
        <f>-INDEX(Assumptions!$C$53:$M$53,MATCH('DCF Model'!T5,Assumptions!$C$38:$M$38))*(T$5&lt;&gt;S$5)</f>
        <v>0</v>
      </c>
      <c r="U45" s="40">
        <f>-INDEX(Assumptions!$C$53:$M$53,MATCH('DCF Model'!U5,Assumptions!$C$38:$M$38))*(U$5&lt;&gt;T$5)</f>
        <v>0</v>
      </c>
      <c r="V45" s="40">
        <f>-INDEX(Assumptions!$C$53:$M$53,MATCH('DCF Model'!V5,Assumptions!$C$38:$M$38))*(V$5&lt;&gt;U$5)</f>
        <v>0</v>
      </c>
      <c r="W45" s="40">
        <f>-INDEX(Assumptions!$C$53:$M$53,MATCH('DCF Model'!W5,Assumptions!$C$38:$M$38))*(W$5&lt;&gt;V$5)</f>
        <v>0</v>
      </c>
      <c r="X45" s="40">
        <f>-INDEX(Assumptions!$C$53:$M$53,MATCH('DCF Model'!X5,Assumptions!$C$38:$M$38))*(X$5&lt;&gt;W$5)</f>
        <v>0</v>
      </c>
      <c r="Y45" s="40">
        <f>-INDEX(Assumptions!$C$53:$M$53,MATCH('DCF Model'!Y5,Assumptions!$C$38:$M$38))*(Y$5&lt;&gt;X$5)</f>
        <v>0</v>
      </c>
      <c r="Z45" s="40">
        <f>-INDEX(Assumptions!$C$53:$M$53,MATCH('DCF Model'!Z5,Assumptions!$C$38:$M$38))*(Z$5&lt;&gt;Y$5)</f>
        <v>0</v>
      </c>
      <c r="AA45" s="40">
        <f>-INDEX(Assumptions!$C$53:$M$53,MATCH('DCF Model'!AA5,Assumptions!$C$38:$M$38))*(AA$5&lt;&gt;Z$5)</f>
        <v>0</v>
      </c>
      <c r="AB45" s="40">
        <f>-INDEX(Assumptions!$C$53:$M$53,MATCH('DCF Model'!AB5,Assumptions!$C$38:$M$38))*(AB$5&lt;&gt;AA$5)</f>
        <v>0</v>
      </c>
      <c r="AC45" s="40">
        <f>-INDEX(Assumptions!$C$53:$M$53,MATCH('DCF Model'!AC5,Assumptions!$C$38:$M$38))*(AC$5&lt;&gt;AB$5)</f>
        <v>0</v>
      </c>
      <c r="AD45" s="40">
        <f>-INDEX(Assumptions!$C$53:$M$53,MATCH('DCF Model'!AD5,Assumptions!$C$38:$M$38))*(AD$5&lt;&gt;AC$5)</f>
        <v>0</v>
      </c>
      <c r="AE45" s="40">
        <f>-INDEX(Assumptions!$C$53:$M$53,MATCH('DCF Model'!AE5,Assumptions!$C$38:$M$38))*(AE$5&lt;&gt;AD$5)</f>
        <v>0</v>
      </c>
      <c r="AF45" s="40">
        <f>-INDEX(Assumptions!$C$53:$M$53,MATCH('DCF Model'!AF5,Assumptions!$C$38:$M$38))*(AF$5&lt;&gt;AE$5)</f>
        <v>0</v>
      </c>
      <c r="AG45" s="40">
        <f>-INDEX(Assumptions!$C$53:$M$53,MATCH('DCF Model'!AG5,Assumptions!$C$38:$M$38))*(AG$5&lt;&gt;AF$5)</f>
        <v>0</v>
      </c>
      <c r="AH45" s="40">
        <f>-INDEX(Assumptions!$C$53:$M$53,MATCH('DCF Model'!AH5,Assumptions!$C$38:$M$38))*(AH$5&lt;&gt;AG$5)</f>
        <v>0</v>
      </c>
      <c r="AI45" s="40">
        <f>-INDEX(Assumptions!$C$53:$M$53,MATCH('DCF Model'!AI5,Assumptions!$C$38:$M$38))*(AI$5&lt;&gt;AH$5)</f>
        <v>0</v>
      </c>
      <c r="AJ45" s="40">
        <f>-INDEX(Assumptions!$C$53:$M$53,MATCH('DCF Model'!AJ5,Assumptions!$C$38:$M$38))*(AJ$5&lt;&gt;AI$5)</f>
        <v>0</v>
      </c>
      <c r="AK45" s="40">
        <f>-INDEX(Assumptions!$C$53:$M$53,MATCH('DCF Model'!AK5,Assumptions!$C$38:$M$38))*(AK$5&lt;&gt;AJ$5)</f>
        <v>0</v>
      </c>
      <c r="AL45" s="40">
        <f>-INDEX(Assumptions!$C$53:$M$53,MATCH('DCF Model'!AL5,Assumptions!$C$38:$M$38))*(AL$5&lt;&gt;AK$5)</f>
        <v>0</v>
      </c>
      <c r="AM45" s="40">
        <f>-INDEX(Assumptions!$C$53:$M$53,MATCH('DCF Model'!AM5,Assumptions!$C$38:$M$38))*(AM$5&lt;&gt;AL$5)</f>
        <v>0</v>
      </c>
      <c r="AN45" s="40">
        <f>-INDEX(Assumptions!$C$53:$M$53,MATCH('DCF Model'!AN5,Assumptions!$C$38:$M$38))*(AN$5&lt;&gt;AM$5)</f>
        <v>0</v>
      </c>
      <c r="AO45" s="40">
        <f>-INDEX(Assumptions!$C$53:$M$53,MATCH('DCF Model'!AO5,Assumptions!$C$38:$M$38))*(AO$5&lt;&gt;AN$5)</f>
        <v>0</v>
      </c>
      <c r="AP45" s="40">
        <f>-INDEX(Assumptions!$C$53:$M$53,MATCH('DCF Model'!AP5,Assumptions!$C$38:$M$38))*(AP$5&lt;&gt;AO$5)</f>
        <v>0</v>
      </c>
      <c r="AQ45" s="40">
        <f>-INDEX(Assumptions!$C$53:$M$53,MATCH('DCF Model'!AQ5,Assumptions!$C$38:$M$38))*(AQ$5&lt;&gt;AP$5)</f>
        <v>0</v>
      </c>
      <c r="AR45" s="40">
        <f>-INDEX(Assumptions!$C$53:$M$53,MATCH('DCF Model'!AR5,Assumptions!$C$38:$M$38))*(AR$5&lt;&gt;AQ$5)</f>
        <v>0</v>
      </c>
      <c r="AS45" s="40">
        <f>-INDEX(Assumptions!$C$53:$M$53,MATCH('DCF Model'!AS5,Assumptions!$C$38:$M$38))*(AS$5&lt;&gt;AR$5)</f>
        <v>0</v>
      </c>
      <c r="AT45" s="40">
        <f>-INDEX(Assumptions!$C$53:$M$53,MATCH('DCF Model'!AT5,Assumptions!$C$38:$M$38))*(AT$5&lt;&gt;AS$5)</f>
        <v>0</v>
      </c>
      <c r="AU45" s="40">
        <f>-INDEX(Assumptions!$C$53:$M$53,MATCH('DCF Model'!AU5,Assumptions!$C$38:$M$38))*(AU$5&lt;&gt;AT$5)</f>
        <v>0</v>
      </c>
      <c r="AV45" s="40">
        <f>-INDEX(Assumptions!$C$53:$M$53,MATCH('DCF Model'!AV5,Assumptions!$C$38:$M$38))*(AV$5&lt;&gt;AU$5)</f>
        <v>0</v>
      </c>
      <c r="AW45" s="40">
        <f>-INDEX(Assumptions!$C$53:$M$53,MATCH('DCF Model'!AW5,Assumptions!$C$38:$M$38))*(AW$5&lt;&gt;AV$5)</f>
        <v>0</v>
      </c>
      <c r="AX45" s="40">
        <f>-INDEX(Assumptions!$C$53:$M$53,MATCH('DCF Model'!AX5,Assumptions!$C$38:$M$38))*(AX$5&lt;&gt;AW$5)</f>
        <v>0</v>
      </c>
      <c r="AY45" s="40">
        <f>-INDEX(Assumptions!$C$53:$M$53,MATCH('DCF Model'!AY5,Assumptions!$C$38:$M$38))*(AY$5&lt;&gt;AX$5)</f>
        <v>0</v>
      </c>
      <c r="AZ45" s="40">
        <f>-INDEX(Assumptions!$C$53:$M$53,MATCH('DCF Model'!AZ5,Assumptions!$C$38:$M$38))*(AZ$5&lt;&gt;AY$5)</f>
        <v>0</v>
      </c>
      <c r="BA45" s="40">
        <f>-INDEX(Assumptions!$C$53:$M$53,MATCH('DCF Model'!BA5,Assumptions!$C$38:$M$38))*(BA$5&lt;&gt;AZ$5)</f>
        <v>0</v>
      </c>
      <c r="BB45" s="40">
        <f>-INDEX(Assumptions!$C$53:$M$53,MATCH('DCF Model'!BB5,Assumptions!$C$38:$M$38))*(BB$5&lt;&gt;BA$5)</f>
        <v>0</v>
      </c>
      <c r="BC45" s="40">
        <f>-INDEX(Assumptions!$C$53:$M$53,MATCH('DCF Model'!BC5,Assumptions!$C$38:$M$38))*(BC$5&lt;&gt;BB$5)</f>
        <v>0</v>
      </c>
      <c r="BD45" s="40">
        <f>-INDEX(Assumptions!$C$53:$M$53,MATCH('DCF Model'!BD5,Assumptions!$C$38:$M$38))*(BD$5&lt;&gt;BC$5)</f>
        <v>0</v>
      </c>
      <c r="BE45" s="40">
        <f>-INDEX(Assumptions!$C$53:$M$53,MATCH('DCF Model'!BE5,Assumptions!$C$38:$M$38))*(BE$5&lt;&gt;BD$5)</f>
        <v>0</v>
      </c>
      <c r="BF45" s="40">
        <f>-INDEX(Assumptions!$C$53:$M$53,MATCH('DCF Model'!BF5,Assumptions!$C$38:$M$38))*(BF$5&lt;&gt;BE$5)</f>
        <v>0</v>
      </c>
      <c r="BG45" s="40">
        <f>-INDEX(Assumptions!$C$53:$M$53,MATCH('DCF Model'!BG5,Assumptions!$C$38:$M$38))*(BG$5&lt;&gt;BF$5)</f>
        <v>0</v>
      </c>
      <c r="BH45" s="40">
        <f>-INDEX(Assumptions!$C$53:$M$53,MATCH('DCF Model'!BH5,Assumptions!$C$38:$M$38))*(BH$5&lt;&gt;BG$5)</f>
        <v>0</v>
      </c>
      <c r="BI45" s="40">
        <f>-INDEX(Assumptions!$C$53:$M$53,MATCH('DCF Model'!BI5,Assumptions!$C$38:$M$38))*(BI$5&lt;&gt;BH$5)</f>
        <v>0</v>
      </c>
      <c r="BJ45" s="40">
        <f>-INDEX(Assumptions!$C$53:$M$53,MATCH('DCF Model'!BJ5,Assumptions!$C$38:$M$38))*(BJ$5&lt;&gt;BI$5)</f>
        <v>0</v>
      </c>
      <c r="BK45" s="40">
        <f>-INDEX(Assumptions!$C$53:$M$53,MATCH('DCF Model'!BK5,Assumptions!$C$38:$M$38))*(BK$5&lt;&gt;BJ$5)</f>
        <v>0</v>
      </c>
      <c r="BL45" s="40">
        <f>-INDEX(Assumptions!$C$53:$M$53,MATCH('DCF Model'!BL5,Assumptions!$C$38:$M$38))*(BL$5&lt;&gt;BK$5)</f>
        <v>0</v>
      </c>
      <c r="BM45" s="40">
        <f>-INDEX(Assumptions!$C$53:$M$53,MATCH('DCF Model'!BM5,Assumptions!$C$38:$M$38))*(BM$5&lt;&gt;BL$5)</f>
        <v>0</v>
      </c>
      <c r="BN45" s="40">
        <f>-INDEX(Assumptions!$C$53:$M$53,MATCH('DCF Model'!BN5,Assumptions!$C$38:$M$38))*(BN$5&lt;&gt;BM$5)</f>
        <v>0</v>
      </c>
      <c r="BO45" s="40">
        <f>-INDEX(Assumptions!$C$53:$M$53,MATCH('DCF Model'!BO5,Assumptions!$C$38:$M$38))*(BO$5&lt;&gt;BN$5)</f>
        <v>0</v>
      </c>
      <c r="BP45" s="40">
        <f>-INDEX(Assumptions!$C$53:$M$53,MATCH('DCF Model'!BP5,Assumptions!$C$38:$M$38))*(BP$5&lt;&gt;BO$5)</f>
        <v>0</v>
      </c>
      <c r="BQ45" s="40">
        <f>-INDEX(Assumptions!$C$53:$M$53,MATCH('DCF Model'!BQ5,Assumptions!$C$38:$M$38))*(BQ$5&lt;&gt;BP$5)</f>
        <v>0</v>
      </c>
      <c r="BR45" s="40">
        <f>-INDEX(Assumptions!$C$53:$M$53,MATCH('DCF Model'!BR5,Assumptions!$C$38:$M$38))*(BR$5&lt;&gt;BQ$5)</f>
        <v>0</v>
      </c>
      <c r="BS45" s="40">
        <f>-INDEX(Assumptions!$C$53:$M$53,MATCH('DCF Model'!BS5,Assumptions!$C$38:$M$38))*(BS$5&lt;&gt;BR$5)</f>
        <v>0</v>
      </c>
      <c r="BT45" s="40">
        <f>-INDEX(Assumptions!$C$53:$M$53,MATCH('DCF Model'!BT5,Assumptions!$C$38:$M$38))*(BT$5&lt;&gt;BS$5)</f>
        <v>0</v>
      </c>
      <c r="BU45" s="40">
        <f>-INDEX(Assumptions!$C$53:$M$53,MATCH('DCF Model'!BU5,Assumptions!$C$38:$M$38))*(BU$5&lt;&gt;BT$5)</f>
        <v>0</v>
      </c>
      <c r="BV45" s="40">
        <f>-INDEX(Assumptions!$C$53:$M$53,MATCH('DCF Model'!BV5,Assumptions!$C$38:$M$38))*(BV$5&lt;&gt;BU$5)</f>
        <v>0</v>
      </c>
      <c r="BW45" s="40">
        <f>-INDEX(Assumptions!$C$53:$M$53,MATCH('DCF Model'!BW5,Assumptions!$C$38:$M$38))*(BW$5&lt;&gt;BV$5)</f>
        <v>0</v>
      </c>
      <c r="BX45" s="40">
        <f>-INDEX(Assumptions!$C$53:$M$53,MATCH('DCF Model'!BX5,Assumptions!$C$38:$M$38))*(BX$5&lt;&gt;BW$5)</f>
        <v>0</v>
      </c>
      <c r="BY45" s="40">
        <f>-INDEX(Assumptions!$C$53:$M$53,MATCH('DCF Model'!BY5,Assumptions!$C$38:$M$38))*(BY$5&lt;&gt;BX$5)</f>
        <v>0</v>
      </c>
      <c r="BZ45" s="40">
        <f>-INDEX(Assumptions!$C$53:$M$53,MATCH('DCF Model'!BZ5,Assumptions!$C$38:$M$38))*(BZ$5&lt;&gt;BY$5)</f>
        <v>0</v>
      </c>
      <c r="CA45" s="40">
        <f>-INDEX(Assumptions!$C$53:$M$53,MATCH('DCF Model'!CA5,Assumptions!$C$38:$M$38))*(CA$5&lt;&gt;BZ$5)</f>
        <v>0</v>
      </c>
      <c r="CB45" s="40">
        <f>-INDEX(Assumptions!$C$53:$M$53,MATCH('DCF Model'!CB5,Assumptions!$C$38:$M$38))*(CB$5&lt;&gt;CA$5)</f>
        <v>0</v>
      </c>
      <c r="CC45" s="40">
        <f>-INDEX(Assumptions!$C$53:$M$53,MATCH('DCF Model'!CC5,Assumptions!$C$38:$M$38))*(CC$5&lt;&gt;CB$5)</f>
        <v>0</v>
      </c>
      <c r="CD45" s="40">
        <f>-INDEX(Assumptions!$C$53:$M$53,MATCH('DCF Model'!CD5,Assumptions!$C$38:$M$38))*(CD$5&lt;&gt;CC$5)</f>
        <v>0</v>
      </c>
      <c r="CE45" s="40">
        <f>-INDEX(Assumptions!$C$53:$M$53,MATCH('DCF Model'!CE5,Assumptions!$C$38:$M$38))*(CE$5&lt;&gt;CD$5)</f>
        <v>0</v>
      </c>
      <c r="CF45" s="40">
        <f>-INDEX(Assumptions!$C$53:$M$53,MATCH('DCF Model'!CF5,Assumptions!$C$38:$M$38))*(CF$5&lt;&gt;CE$5)</f>
        <v>0</v>
      </c>
      <c r="CG45" s="40">
        <f>-INDEX(Assumptions!$C$53:$M$53,MATCH('DCF Model'!CG5,Assumptions!$C$38:$M$38))*(CG$5&lt;&gt;CF$5)</f>
        <v>0</v>
      </c>
      <c r="CH45" s="40">
        <f>-INDEX(Assumptions!$C$53:$M$53,MATCH('DCF Model'!CH5,Assumptions!$C$38:$M$38))*(CH$5&lt;&gt;CG$5)</f>
        <v>0</v>
      </c>
      <c r="CI45" s="40">
        <f>-INDEX(Assumptions!$C$53:$M$53,MATCH('DCF Model'!CI5,Assumptions!$C$38:$M$38))*(CI$5&lt;&gt;CH$5)</f>
        <v>0</v>
      </c>
      <c r="CJ45" s="40">
        <f>-INDEX(Assumptions!$C$53:$M$53,MATCH('DCF Model'!CJ5,Assumptions!$C$38:$M$38))*(CJ$5&lt;&gt;CI$5)</f>
        <v>0</v>
      </c>
      <c r="CK45" s="40">
        <f>-INDEX(Assumptions!$C$53:$M$53,MATCH('DCF Model'!CK5,Assumptions!$C$38:$M$38))*(CK$5&lt;&gt;CJ$5)</f>
        <v>0</v>
      </c>
      <c r="CL45" s="40">
        <f>-INDEX(Assumptions!$C$53:$M$53,MATCH('DCF Model'!CL5,Assumptions!$C$38:$M$38))*(CL$5&lt;&gt;CK$5)</f>
        <v>0</v>
      </c>
      <c r="CM45" s="119">
        <f>-INDEX(Assumptions!$C$53:$M$53,MATCH('DCF Model'!CM5,Assumptions!$C$38:$M$38))/12</f>
        <v>0</v>
      </c>
      <c r="CN45" s="119">
        <f>-INDEX(Assumptions!$C$53:$M$53,MATCH('DCF Model'!CN5,Assumptions!$C$38:$M$38))/12</f>
        <v>0</v>
      </c>
      <c r="CO45" s="119">
        <f>-INDEX(Assumptions!$C$53:$M$53,MATCH('DCF Model'!CO5,Assumptions!$C$38:$M$38))/12</f>
        <v>0</v>
      </c>
      <c r="CP45" s="119">
        <f>-INDEX(Assumptions!$C$53:$M$53,MATCH('DCF Model'!CP5,Assumptions!$C$38:$M$38))/12</f>
        <v>0</v>
      </c>
      <c r="CQ45" s="119">
        <f>-INDEX(Assumptions!$C$53:$M$53,MATCH('DCF Model'!CQ5,Assumptions!$C$38:$M$38))/12</f>
        <v>0</v>
      </c>
      <c r="CR45" s="119">
        <f>-INDEX(Assumptions!$C$53:$M$53,MATCH('DCF Model'!CR5,Assumptions!$C$38:$M$38))/12</f>
        <v>0</v>
      </c>
      <c r="CS45" s="119">
        <f>-INDEX(Assumptions!$C$53:$M$53,MATCH('DCF Model'!CS5,Assumptions!$C$38:$M$38))/12</f>
        <v>0</v>
      </c>
      <c r="CT45" s="119">
        <f>-INDEX(Assumptions!$C$53:$M$53,MATCH('DCF Model'!CT5,Assumptions!$C$38:$M$38))/12</f>
        <v>0</v>
      </c>
      <c r="CU45" s="119">
        <f>-INDEX(Assumptions!$C$53:$M$53,MATCH('DCF Model'!CU5,Assumptions!$C$38:$M$38))/12</f>
        <v>0</v>
      </c>
      <c r="CV45" s="119">
        <f>-INDEX(Assumptions!$C$53:$M$53,MATCH('DCF Model'!CV5,Assumptions!$C$38:$M$38))/12</f>
        <v>0</v>
      </c>
      <c r="CW45" s="119">
        <f>-INDEX(Assumptions!$C$53:$M$53,MATCH('DCF Model'!CW5,Assumptions!$C$38:$M$38))/12</f>
        <v>0</v>
      </c>
      <c r="CX45" s="119">
        <f>-INDEX(Assumptions!$C$53:$M$53,MATCH('DCF Model'!CX5,Assumptions!$C$38:$M$38))/12</f>
        <v>0</v>
      </c>
    </row>
    <row r="46" spans="2:102" ht="12.6" customHeight="1" x14ac:dyDescent="0.2">
      <c r="B46" s="60" t="s">
        <v>83</v>
      </c>
      <c r="C46" s="60"/>
      <c r="D46" s="61">
        <f>D43+D45</f>
        <v>1044221</v>
      </c>
      <c r="E46" s="42"/>
      <c r="F46" s="42"/>
      <c r="G46" s="43">
        <f t="shared" ref="G46:BR46" si="51">G43+G45</f>
        <v>52912.821666666656</v>
      </c>
      <c r="H46" s="43">
        <f t="shared" si="51"/>
        <v>102912.82166666666</v>
      </c>
      <c r="I46" s="43">
        <f t="shared" si="51"/>
        <v>102912.82166666666</v>
      </c>
      <c r="J46" s="43">
        <f t="shared" si="51"/>
        <v>102912.82166666666</v>
      </c>
      <c r="K46" s="43">
        <f t="shared" si="51"/>
        <v>102912.82166666666</v>
      </c>
      <c r="L46" s="43">
        <f t="shared" si="51"/>
        <v>102912.82166666666</v>
      </c>
      <c r="M46" s="43">
        <f t="shared" si="51"/>
        <v>102912.82166666666</v>
      </c>
      <c r="N46" s="43">
        <f t="shared" si="51"/>
        <v>102912.82166666666</v>
      </c>
      <c r="O46" s="43">
        <f t="shared" si="51"/>
        <v>102912.82166666666</v>
      </c>
      <c r="P46" s="43">
        <f t="shared" si="51"/>
        <v>102912.82166666666</v>
      </c>
      <c r="Q46" s="43">
        <f t="shared" si="51"/>
        <v>102912.82166666666</v>
      </c>
      <c r="R46" s="43">
        <f t="shared" si="51"/>
        <v>102912.82166666666</v>
      </c>
      <c r="S46" s="43">
        <f t="shared" si="51"/>
        <v>143647.62037916668</v>
      </c>
      <c r="T46" s="43">
        <f t="shared" si="51"/>
        <v>143647.62037916668</v>
      </c>
      <c r="U46" s="43">
        <f t="shared" si="51"/>
        <v>143647.62037916668</v>
      </c>
      <c r="V46" s="43">
        <f t="shared" si="51"/>
        <v>143647.62037916668</v>
      </c>
      <c r="W46" s="43">
        <f t="shared" si="51"/>
        <v>143647.62037916668</v>
      </c>
      <c r="X46" s="43">
        <f t="shared" si="51"/>
        <v>143647.62037916668</v>
      </c>
      <c r="Y46" s="43">
        <f t="shared" si="51"/>
        <v>143647.62037916668</v>
      </c>
      <c r="Z46" s="43">
        <f t="shared" si="51"/>
        <v>143647.62037916668</v>
      </c>
      <c r="AA46" s="43">
        <f t="shared" si="51"/>
        <v>143647.62037916668</v>
      </c>
      <c r="AB46" s="43">
        <f t="shared" si="51"/>
        <v>143647.62037916668</v>
      </c>
      <c r="AC46" s="43">
        <f t="shared" si="51"/>
        <v>143647.62037916668</v>
      </c>
      <c r="AD46" s="43">
        <f t="shared" si="51"/>
        <v>143647.62037916668</v>
      </c>
      <c r="AE46" s="43">
        <f t="shared" si="51"/>
        <v>196817.86578741667</v>
      </c>
      <c r="AF46" s="43">
        <f t="shared" si="51"/>
        <v>196817.86578741667</v>
      </c>
      <c r="AG46" s="43">
        <f t="shared" si="51"/>
        <v>196817.86578741667</v>
      </c>
      <c r="AH46" s="43">
        <f t="shared" si="51"/>
        <v>196817.86578741667</v>
      </c>
      <c r="AI46" s="43">
        <f t="shared" si="51"/>
        <v>196817.86578741667</v>
      </c>
      <c r="AJ46" s="43">
        <f t="shared" si="51"/>
        <v>196817.86578741667</v>
      </c>
      <c r="AK46" s="43">
        <f t="shared" si="51"/>
        <v>196817.86578741667</v>
      </c>
      <c r="AL46" s="43">
        <f t="shared" si="51"/>
        <v>196817.86578741667</v>
      </c>
      <c r="AM46" s="43">
        <f t="shared" si="51"/>
        <v>196817.86578741667</v>
      </c>
      <c r="AN46" s="43">
        <f t="shared" si="51"/>
        <v>196817.86578741667</v>
      </c>
      <c r="AO46" s="43">
        <f t="shared" si="51"/>
        <v>196817.86578741667</v>
      </c>
      <c r="AP46" s="43">
        <f t="shared" si="51"/>
        <v>196817.86578741667</v>
      </c>
      <c r="AQ46" s="43">
        <f t="shared" si="51"/>
        <v>209040.2270891642</v>
      </c>
      <c r="AR46" s="43">
        <f t="shared" si="51"/>
        <v>209040.2270891642</v>
      </c>
      <c r="AS46" s="43">
        <f t="shared" si="51"/>
        <v>209040.2270891642</v>
      </c>
      <c r="AT46" s="43">
        <f t="shared" si="51"/>
        <v>209040.2270891642</v>
      </c>
      <c r="AU46" s="43">
        <f t="shared" si="51"/>
        <v>209040.2270891642</v>
      </c>
      <c r="AV46" s="43">
        <f t="shared" si="51"/>
        <v>209040.2270891642</v>
      </c>
      <c r="AW46" s="43">
        <f t="shared" si="51"/>
        <v>209040.2270891642</v>
      </c>
      <c r="AX46" s="43">
        <f t="shared" si="51"/>
        <v>209040.2270891642</v>
      </c>
      <c r="AY46" s="43">
        <f t="shared" si="51"/>
        <v>209040.2270891642</v>
      </c>
      <c r="AZ46" s="43">
        <f t="shared" si="51"/>
        <v>209040.2270891642</v>
      </c>
      <c r="BA46" s="43">
        <f t="shared" si="51"/>
        <v>209040.2270891642</v>
      </c>
      <c r="BB46" s="43">
        <f t="shared" si="51"/>
        <v>209040.2270891642</v>
      </c>
      <c r="BC46" s="43">
        <f t="shared" si="51"/>
        <v>215367.43390183902</v>
      </c>
      <c r="BD46" s="43">
        <f t="shared" si="51"/>
        <v>215367.43390183902</v>
      </c>
      <c r="BE46" s="43">
        <f t="shared" si="51"/>
        <v>215367.43390183902</v>
      </c>
      <c r="BF46" s="43">
        <f t="shared" si="51"/>
        <v>215367.43390183902</v>
      </c>
      <c r="BG46" s="43">
        <f t="shared" si="51"/>
        <v>215367.43390183902</v>
      </c>
      <c r="BH46" s="43">
        <f t="shared" si="51"/>
        <v>215367.43390183902</v>
      </c>
      <c r="BI46" s="43">
        <f t="shared" si="51"/>
        <v>215367.43390183902</v>
      </c>
      <c r="BJ46" s="43">
        <f t="shared" si="51"/>
        <v>215367.43390183902</v>
      </c>
      <c r="BK46" s="43">
        <f t="shared" si="51"/>
        <v>215367.43390183902</v>
      </c>
      <c r="BL46" s="43">
        <f t="shared" si="51"/>
        <v>215367.43390183902</v>
      </c>
      <c r="BM46" s="43">
        <f t="shared" si="51"/>
        <v>215367.43390183902</v>
      </c>
      <c r="BN46" s="43">
        <f t="shared" si="51"/>
        <v>215367.43390183902</v>
      </c>
      <c r="BO46" s="43">
        <f t="shared" si="51"/>
        <v>221887.45691889428</v>
      </c>
      <c r="BP46" s="43">
        <f t="shared" si="51"/>
        <v>221887.45691889428</v>
      </c>
      <c r="BQ46" s="43">
        <f t="shared" si="51"/>
        <v>221887.45691889428</v>
      </c>
      <c r="BR46" s="43">
        <f t="shared" si="51"/>
        <v>221887.45691889428</v>
      </c>
      <c r="BS46" s="43">
        <f t="shared" ref="BS46:CL46" si="52">BS43+BS45</f>
        <v>221887.45691889428</v>
      </c>
      <c r="BT46" s="43">
        <f t="shared" si="52"/>
        <v>221887.45691889428</v>
      </c>
      <c r="BU46" s="43">
        <f t="shared" si="52"/>
        <v>221887.45691889428</v>
      </c>
      <c r="BV46" s="43">
        <f t="shared" si="52"/>
        <v>221887.45691889428</v>
      </c>
      <c r="BW46" s="43">
        <f t="shared" si="52"/>
        <v>221887.45691889428</v>
      </c>
      <c r="BX46" s="43">
        <f t="shared" si="52"/>
        <v>221887.45691889428</v>
      </c>
      <c r="BY46" s="43">
        <f t="shared" si="52"/>
        <v>221887.45691889428</v>
      </c>
      <c r="BZ46" s="43">
        <f t="shared" si="52"/>
        <v>221887.45691889428</v>
      </c>
      <c r="CA46" s="43">
        <f t="shared" si="52"/>
        <v>228581.0806264611</v>
      </c>
      <c r="CB46" s="43">
        <f t="shared" si="52"/>
        <v>228581.0806264611</v>
      </c>
      <c r="CC46" s="43">
        <f t="shared" si="52"/>
        <v>228581.0806264611</v>
      </c>
      <c r="CD46" s="43">
        <f t="shared" si="52"/>
        <v>228581.0806264611</v>
      </c>
      <c r="CE46" s="43">
        <f t="shared" si="52"/>
        <v>228581.0806264611</v>
      </c>
      <c r="CF46" s="43">
        <f t="shared" si="52"/>
        <v>228581.0806264611</v>
      </c>
      <c r="CG46" s="43">
        <f t="shared" si="52"/>
        <v>228581.0806264611</v>
      </c>
      <c r="CH46" s="43">
        <f t="shared" si="52"/>
        <v>228581.0806264611</v>
      </c>
      <c r="CI46" s="43">
        <f t="shared" si="52"/>
        <v>228581.0806264611</v>
      </c>
      <c r="CJ46" s="43">
        <f t="shared" si="52"/>
        <v>228581.0806264611</v>
      </c>
      <c r="CK46" s="43">
        <f t="shared" si="52"/>
        <v>228581.0806264611</v>
      </c>
      <c r="CL46" s="43">
        <f t="shared" si="52"/>
        <v>228581.0806264611</v>
      </c>
      <c r="CM46" s="170">
        <f t="shared" ref="CM46:CQ46" si="53">CM43+CM45</f>
        <v>235504.2630452548</v>
      </c>
      <c r="CN46" s="170">
        <f t="shared" si="53"/>
        <v>235504.2630452548</v>
      </c>
      <c r="CO46" s="170">
        <f t="shared" si="53"/>
        <v>235504.2630452548</v>
      </c>
      <c r="CP46" s="170">
        <f t="shared" si="53"/>
        <v>235504.2630452548</v>
      </c>
      <c r="CQ46" s="170">
        <f t="shared" si="53"/>
        <v>235504.2630452548</v>
      </c>
      <c r="CR46" s="170">
        <f t="shared" ref="CR46:CX46" si="54">CR43+CR45</f>
        <v>235504.2630452548</v>
      </c>
      <c r="CS46" s="170">
        <f t="shared" si="54"/>
        <v>235504.2630452548</v>
      </c>
      <c r="CT46" s="170">
        <f t="shared" si="54"/>
        <v>235504.2630452548</v>
      </c>
      <c r="CU46" s="170">
        <f t="shared" si="54"/>
        <v>235504.2630452548</v>
      </c>
      <c r="CV46" s="170">
        <f t="shared" si="54"/>
        <v>235504.2630452548</v>
      </c>
      <c r="CW46" s="170">
        <f t="shared" si="54"/>
        <v>235504.2630452548</v>
      </c>
      <c r="CX46" s="170">
        <f t="shared" si="54"/>
        <v>235504.2630452548</v>
      </c>
    </row>
    <row r="48" spans="2:102" ht="12.6" customHeight="1" x14ac:dyDescent="0.2">
      <c r="B48" s="22" t="s">
        <v>109</v>
      </c>
      <c r="G48" s="40">
        <f>IF(G5&lt;=Assumptions!$B$35,SUM('DCF Model'!H43:S43),0)</f>
        <v>1275688.6587124998</v>
      </c>
      <c r="H48" s="40">
        <f>IF(H5&lt;=Assumptions!$B$35,SUM('DCF Model'!I43:T43),0)</f>
        <v>1316423.4574249999</v>
      </c>
      <c r="I48" s="40">
        <f>IF(I5&lt;=Assumptions!$B$35,SUM('DCF Model'!J43:U43),0)</f>
        <v>1357158.2561375001</v>
      </c>
      <c r="J48" s="40">
        <f>IF(J5&lt;=Assumptions!$B$35,SUM('DCF Model'!K43:V43),0)</f>
        <v>1397893.05485</v>
      </c>
      <c r="K48" s="40">
        <f>IF(K5&lt;=Assumptions!$B$35,SUM('DCF Model'!L43:W43),0)</f>
        <v>1438627.8535624999</v>
      </c>
      <c r="L48" s="40">
        <f>IF(L5&lt;=Assumptions!$B$35,SUM('DCF Model'!M43:X43),0)</f>
        <v>1479362.652275</v>
      </c>
      <c r="M48" s="40">
        <f>IF(M5&lt;=Assumptions!$B$35,SUM('DCF Model'!N43:Y43),0)</f>
        <v>1520097.4509875001</v>
      </c>
      <c r="N48" s="40">
        <f>IF(N5&lt;=Assumptions!$B$35,SUM('DCF Model'!O43:Z43),0)</f>
        <v>1560832.2497</v>
      </c>
      <c r="O48" s="40">
        <f>IF(O5&lt;=Assumptions!$B$35,SUM('DCF Model'!P43:AA43),0)</f>
        <v>1601567.0484124999</v>
      </c>
      <c r="P48" s="40">
        <f>IF(P5&lt;=Assumptions!$B$35,SUM('DCF Model'!Q43:AB43),0)</f>
        <v>1642301.8471250001</v>
      </c>
      <c r="Q48" s="40">
        <f>IF(Q5&lt;=Assumptions!$B$35,SUM('DCF Model'!R43:AC43),0)</f>
        <v>1683036.6458375002</v>
      </c>
      <c r="R48" s="40">
        <f>IF(R5&lt;=Assumptions!$B$35,SUM('DCF Model'!S43:AD43),0)</f>
        <v>1723771.4445500001</v>
      </c>
      <c r="S48" s="40">
        <f>IF(S5&lt;=Assumptions!$B$35,SUM('DCF Model'!T43:AE43),0)</f>
        <v>1776941.6899582502</v>
      </c>
      <c r="T48" s="40">
        <f>IF(T5&lt;=Assumptions!$B$35,SUM('DCF Model'!U43:AF43),0)</f>
        <v>1830111.9353665002</v>
      </c>
      <c r="U48" s="40">
        <f>IF(U5&lt;=Assumptions!$B$35,SUM('DCF Model'!V43:AG43),0)</f>
        <v>1883282.1807747502</v>
      </c>
      <c r="V48" s="40">
        <f>IF(V5&lt;=Assumptions!$B$35,SUM('DCF Model'!W43:AH43),0)</f>
        <v>1936452.4261830002</v>
      </c>
      <c r="W48" s="40">
        <f>IF(W5&lt;=Assumptions!$B$35,SUM('DCF Model'!X43:AI43),0)</f>
        <v>1989622.6715912502</v>
      </c>
      <c r="X48" s="40">
        <f>IF(X5&lt;=Assumptions!$B$35,SUM('DCF Model'!Y43:AJ43),0)</f>
        <v>2042792.9169995002</v>
      </c>
      <c r="Y48" s="40">
        <f>IF(Y5&lt;=Assumptions!$B$35,SUM('DCF Model'!Z43:AK43),0)</f>
        <v>2095963.1624077503</v>
      </c>
      <c r="Z48" s="40">
        <f>IF(Z5&lt;=Assumptions!$B$35,SUM('DCF Model'!AA43:AL43),0)</f>
        <v>2149133.4078160003</v>
      </c>
      <c r="AA48" s="40">
        <f>IF(AA5&lt;=Assumptions!$B$35,SUM('DCF Model'!AB43:AM43),0)</f>
        <v>2202303.6532242503</v>
      </c>
      <c r="AB48" s="40">
        <f>IF(AB5&lt;=Assumptions!$B$35,SUM('DCF Model'!AC43:AN43),0)</f>
        <v>2255473.8986325003</v>
      </c>
      <c r="AC48" s="40">
        <f>IF(AC5&lt;=Assumptions!$B$35,SUM('DCF Model'!AD43:AO43),0)</f>
        <v>2308644.1440407503</v>
      </c>
      <c r="AD48" s="40">
        <f>IF(AD5&lt;=Assumptions!$B$35,SUM('DCF Model'!AE43:AP43),0)</f>
        <v>2361814.3894489999</v>
      </c>
      <c r="AE48" s="40">
        <f>IF(AE5&lt;=Assumptions!$B$35,SUM('DCF Model'!AF43:AQ43),0)</f>
        <v>2374036.7507507475</v>
      </c>
      <c r="AF48" s="40">
        <f>IF(AF5&lt;=Assumptions!$B$35,SUM('DCF Model'!AG43:AR43),0)</f>
        <v>2386259.1120524951</v>
      </c>
      <c r="AG48" s="40">
        <f>IF(AG5&lt;=Assumptions!$B$35,SUM('DCF Model'!AH43:AS43),0)</f>
        <v>2398481.4733542427</v>
      </c>
      <c r="AH48" s="40">
        <f>IF(AH5&lt;=Assumptions!$B$35,SUM('DCF Model'!AI43:AT43),0)</f>
        <v>2410703.8346559904</v>
      </c>
      <c r="AI48" s="40">
        <f>IF(AI5&lt;=Assumptions!$B$35,SUM('DCF Model'!AJ43:AU43),0)</f>
        <v>2422926.195957738</v>
      </c>
      <c r="AJ48" s="40">
        <f>IF(AJ5&lt;=Assumptions!$B$35,SUM('DCF Model'!AK43:AV43),0)</f>
        <v>2435148.5572594856</v>
      </c>
      <c r="AK48" s="40">
        <f>IF(AK5&lt;=Assumptions!$B$35,SUM('DCF Model'!AL43:AW43),0)</f>
        <v>2447370.9185612332</v>
      </c>
      <c r="AL48" s="40">
        <f>IF(AL5&lt;=Assumptions!$B$35,SUM('DCF Model'!AM43:AX43),0)</f>
        <v>2459593.2798629808</v>
      </c>
      <c r="AM48" s="40">
        <f>IF(AM5&lt;=Assumptions!$B$35,SUM('DCF Model'!AN43:AY43),0)</f>
        <v>2471815.6411647284</v>
      </c>
      <c r="AN48" s="40">
        <f>IF(AN5&lt;=Assumptions!$B$35,SUM('DCF Model'!AO43:AZ43),0)</f>
        <v>2484038.0024664761</v>
      </c>
      <c r="AO48" s="40">
        <f>IF(AO5&lt;=Assumptions!$B$35,SUM('DCF Model'!AP43:BA43),0)</f>
        <v>2496260.3637682237</v>
      </c>
      <c r="AP48" s="40">
        <f>IF(AP5&lt;=Assumptions!$B$35,SUM('DCF Model'!AQ43:BB43),0)</f>
        <v>2508482.7250699708</v>
      </c>
      <c r="AQ48" s="40">
        <f>IF(AQ5&lt;=Assumptions!$B$35,SUM('DCF Model'!AR43:BC43),0)</f>
        <v>2514809.9318826455</v>
      </c>
      <c r="AR48" s="40">
        <f>IF(AR5&lt;=Assumptions!$B$35,SUM('DCF Model'!AS43:BD43),0)</f>
        <v>2521137.1386953201</v>
      </c>
      <c r="AS48" s="40">
        <f>IF(AS5&lt;=Assumptions!$B$35,SUM('DCF Model'!AT43:BE43),0)</f>
        <v>2527464.3455079948</v>
      </c>
      <c r="AT48" s="40">
        <f>IF(AT5&lt;=Assumptions!$B$35,SUM('DCF Model'!AU43:BF43),0)</f>
        <v>2533791.5523206694</v>
      </c>
      <c r="AU48" s="40">
        <f>IF(AU5&lt;=Assumptions!$B$35,SUM('DCF Model'!AV43:BG43),0)</f>
        <v>2540118.7591333441</v>
      </c>
      <c r="AV48" s="40">
        <f>IF(AV5&lt;=Assumptions!$B$35,SUM('DCF Model'!AW43:BH43),0)</f>
        <v>2546445.9659460192</v>
      </c>
      <c r="AW48" s="40">
        <f>IF(AW5&lt;=Assumptions!$B$35,SUM('DCF Model'!AX43:BI43),0)</f>
        <v>2552773.1727586938</v>
      </c>
      <c r="AX48" s="40">
        <f>IF(AX5&lt;=Assumptions!$B$35,SUM('DCF Model'!AY43:BJ43),0)</f>
        <v>2559100.3795713685</v>
      </c>
      <c r="AY48" s="40">
        <f>IF(AY5&lt;=Assumptions!$B$35,SUM('DCF Model'!AZ43:BK43),0)</f>
        <v>2565427.5863840436</v>
      </c>
      <c r="AZ48" s="40">
        <f>IF(AZ5&lt;=Assumptions!$B$35,SUM('DCF Model'!BA43:BL43),0)</f>
        <v>2571754.7931967182</v>
      </c>
      <c r="BA48" s="40">
        <f>IF(BA5&lt;=Assumptions!$B$35,SUM('DCF Model'!BB43:BM43),0)</f>
        <v>2578082.0000093929</v>
      </c>
      <c r="BB48" s="40">
        <f>IF(BB5&lt;=Assumptions!$B$35,SUM('DCF Model'!BC43:BN43),0)</f>
        <v>2584409.206822068</v>
      </c>
      <c r="BC48" s="40">
        <f>IF(BC5&lt;=Assumptions!$B$35,SUM('DCF Model'!BD43:BO43),0)</f>
        <v>2590929.2298391233</v>
      </c>
      <c r="BD48" s="40">
        <f>IF(BD5&lt;=Assumptions!$B$35,SUM('DCF Model'!BE43:BP43),0)</f>
        <v>2597449.2528561787</v>
      </c>
      <c r="BE48" s="40">
        <f>IF(BE5&lt;=Assumptions!$B$35,SUM('DCF Model'!BF43:BQ43),0)</f>
        <v>2603969.2758732336</v>
      </c>
      <c r="BF48" s="40">
        <f>IF(BF5&lt;=Assumptions!$B$35,SUM('DCF Model'!BG43:BR43),0)</f>
        <v>2610489.2988902889</v>
      </c>
      <c r="BG48" s="40">
        <f>IF(BG5&lt;=Assumptions!$B$35,SUM('DCF Model'!BH43:BS43),0)</f>
        <v>2617009.3219073443</v>
      </c>
      <c r="BH48" s="40">
        <f>IF(BH5&lt;=Assumptions!$B$35,SUM('DCF Model'!BI43:BT43),0)</f>
        <v>2623529.3449243996</v>
      </c>
      <c r="BI48" s="40">
        <f>IF(BI5&lt;=Assumptions!$B$35,SUM('DCF Model'!BJ43:BU43),0)</f>
        <v>2630049.367941455</v>
      </c>
      <c r="BJ48" s="40">
        <f>IF(BJ5&lt;=Assumptions!$B$35,SUM('DCF Model'!BK43:BV43),0)</f>
        <v>2636569.3909585103</v>
      </c>
      <c r="BK48" s="40">
        <f>IF(BK5&lt;=Assumptions!$B$35,SUM('DCF Model'!BL43:BW43),0)</f>
        <v>2643089.4139755657</v>
      </c>
      <c r="BL48" s="40">
        <f>IF(BL5&lt;=Assumptions!$B$35,SUM('DCF Model'!BM43:BX43),0)</f>
        <v>2649609.436992621</v>
      </c>
      <c r="BM48" s="40">
        <f>IF(BM5&lt;=Assumptions!$B$35,SUM('DCF Model'!BN43:BY43),0)</f>
        <v>2656129.4600096764</v>
      </c>
      <c r="BN48" s="40">
        <f>IF(BN5&lt;=Assumptions!$B$35,SUM('DCF Model'!BO43:BZ43),0)</f>
        <v>2662649.4830267313</v>
      </c>
      <c r="BO48" s="40">
        <f>IF(BO5&lt;=Assumptions!$B$35,SUM('DCF Model'!BP43:CA43),0)</f>
        <v>2669343.1067342982</v>
      </c>
      <c r="BP48" s="40">
        <f>IF(BP5&lt;=Assumptions!$B$35,SUM('DCF Model'!BQ43:CB43),0)</f>
        <v>2676036.730441865</v>
      </c>
      <c r="BQ48" s="40">
        <f>IF(BQ5&lt;=Assumptions!$B$35,SUM('DCF Model'!BR43:CC43),0)</f>
        <v>2682730.3541494319</v>
      </c>
      <c r="BR48" s="40">
        <f>IF(BR5&lt;=Assumptions!$B$35,SUM('DCF Model'!BS43:CD43),0)</f>
        <v>2689423.9778569988</v>
      </c>
      <c r="BS48" s="40">
        <f>IF(BS5&lt;=Assumptions!$B$35,SUM('DCF Model'!BT43:CE43),0)</f>
        <v>2696117.6015645657</v>
      </c>
      <c r="BT48" s="40">
        <f>IF(BT5&lt;=Assumptions!$B$35,SUM('DCF Model'!BU43:CF43),0)</f>
        <v>2702811.2252721325</v>
      </c>
      <c r="BU48" s="40">
        <f>IF(BU5&lt;=Assumptions!$B$35,SUM('DCF Model'!BV43:CG43),0)</f>
        <v>2709504.8489796994</v>
      </c>
      <c r="BV48" s="40">
        <f>IF(BV5&lt;=Assumptions!$B$35,SUM('DCF Model'!BW43:CH43),0)</f>
        <v>2716198.4726872663</v>
      </c>
      <c r="BW48" s="40">
        <f>IF(BW5&lt;=Assumptions!$B$35,SUM('DCF Model'!BX43:CI43),0)</f>
        <v>2722892.0963948332</v>
      </c>
      <c r="BX48" s="40">
        <f>IF(BX5&lt;=Assumptions!$B$35,SUM('DCF Model'!BY43:CJ43),0)</f>
        <v>2729585.7201024001</v>
      </c>
      <c r="BY48" s="40">
        <f>IF(BY5&lt;=Assumptions!$B$35,SUM('DCF Model'!BZ43:CK43),0)</f>
        <v>2736279.3438099669</v>
      </c>
      <c r="BZ48" s="40">
        <f>IF(BZ5&lt;=Assumptions!$B$35,SUM('DCF Model'!CA43:CL43),0)</f>
        <v>2742972.9675175338</v>
      </c>
      <c r="CA48" s="40">
        <f>IF(CA5&lt;=Assumptions!$B$35,SUM('DCF Model'!CB43:CM43),0)</f>
        <v>2749896.1499363272</v>
      </c>
      <c r="CB48" s="40">
        <f>IF(CB5&lt;=Assumptions!$B$35,SUM('DCF Model'!CC43:CN43),0)</f>
        <v>2756819.3323551207</v>
      </c>
      <c r="CC48" s="40">
        <f>IF(CC5&lt;=Assumptions!$B$35,SUM('DCF Model'!CD43:CO43),0)</f>
        <v>2763742.5147739141</v>
      </c>
      <c r="CD48" s="40">
        <f>IF(CD5&lt;=Assumptions!$B$35,SUM('DCF Model'!CE43:CP43),0)</f>
        <v>2770665.697192708</v>
      </c>
      <c r="CE48" s="40">
        <f>IF(CE5&lt;=Assumptions!$B$35,SUM('DCF Model'!CF43:CQ43),0)</f>
        <v>2777588.8796115015</v>
      </c>
      <c r="CF48" s="40">
        <f>IF(CF5&lt;=Assumptions!$B$35,SUM('DCF Model'!CG43:CR43),0)</f>
        <v>2784512.0620302954</v>
      </c>
      <c r="CG48" s="40">
        <f>IF(CG5&lt;=Assumptions!$B$35,SUM('DCF Model'!CH43:CS43),0)</f>
        <v>2791435.2444490888</v>
      </c>
      <c r="CH48" s="40">
        <f>IF(CH5&lt;=Assumptions!$B$35,SUM('DCF Model'!CI43:CT43),0)</f>
        <v>2798358.4268678827</v>
      </c>
      <c r="CI48" s="40">
        <f>IF(CI5&lt;=Assumptions!$B$35,SUM('DCF Model'!CJ43:CU43),0)</f>
        <v>2805281.6092866762</v>
      </c>
      <c r="CJ48" s="40">
        <f>IF(CJ5&lt;=Assumptions!$B$35,SUM('DCF Model'!CK43:CV43),0)</f>
        <v>2812204.7917054701</v>
      </c>
      <c r="CK48" s="40">
        <f>IF(CK5&lt;=Assumptions!$B$35,SUM('DCF Model'!CL43:CW43),0)</f>
        <v>2819127.9741242635</v>
      </c>
      <c r="CL48" s="40">
        <f>IF(CL5&lt;=Assumptions!$B$35,SUM('DCF Model'!CM43:CX43),0)</f>
        <v>2826051.1565430574</v>
      </c>
      <c r="CM48" s="171"/>
      <c r="CN48" s="171"/>
      <c r="CO48" s="171"/>
      <c r="CP48" s="171"/>
      <c r="CQ48" s="171"/>
      <c r="CR48" s="171"/>
      <c r="CS48" s="171"/>
      <c r="CT48" s="171"/>
      <c r="CU48" s="171"/>
      <c r="CV48" s="171"/>
      <c r="CW48" s="171"/>
      <c r="CX48" s="171"/>
    </row>
    <row r="49" spans="2:188" ht="12.6" customHeight="1" x14ac:dyDescent="0.2">
      <c r="B49" s="22" t="s">
        <v>110</v>
      </c>
      <c r="D49" s="58">
        <f>D43/D26</f>
        <v>0.34826050618124554</v>
      </c>
      <c r="G49" s="58">
        <f>G43/G26</f>
        <v>0.38117918714745386</v>
      </c>
      <c r="H49" s="58">
        <f t="shared" ref="H49:BS49" si="55">H43/H26</f>
        <v>0.38117918714745386</v>
      </c>
      <c r="I49" s="58">
        <f t="shared" si="55"/>
        <v>0.38117918714745386</v>
      </c>
      <c r="J49" s="58">
        <f t="shared" si="55"/>
        <v>0.38117918714745386</v>
      </c>
      <c r="K49" s="58">
        <f t="shared" si="55"/>
        <v>0.38117918714745386</v>
      </c>
      <c r="L49" s="58">
        <f t="shared" si="55"/>
        <v>0.38117918714745386</v>
      </c>
      <c r="M49" s="58">
        <f t="shared" si="55"/>
        <v>0.38117918714745386</v>
      </c>
      <c r="N49" s="58">
        <f t="shared" si="55"/>
        <v>0.38117918714745386</v>
      </c>
      <c r="O49" s="58">
        <f t="shared" si="55"/>
        <v>0.38117918714745386</v>
      </c>
      <c r="P49" s="58">
        <f t="shared" si="55"/>
        <v>0.38117918714745386</v>
      </c>
      <c r="Q49" s="58">
        <f t="shared" si="55"/>
        <v>0.38117918714745386</v>
      </c>
      <c r="R49" s="58">
        <f t="shared" si="55"/>
        <v>0.38117918714745386</v>
      </c>
      <c r="S49" s="58">
        <f t="shared" si="55"/>
        <v>0.44603944241170368</v>
      </c>
      <c r="T49" s="58">
        <f t="shared" si="55"/>
        <v>0.44603944241170368</v>
      </c>
      <c r="U49" s="58">
        <f t="shared" si="55"/>
        <v>0.44603944241170368</v>
      </c>
      <c r="V49" s="58">
        <f t="shared" si="55"/>
        <v>0.44603944241170368</v>
      </c>
      <c r="W49" s="58">
        <f t="shared" si="55"/>
        <v>0.44603944241170368</v>
      </c>
      <c r="X49" s="58">
        <f t="shared" si="55"/>
        <v>0.44603944241170368</v>
      </c>
      <c r="Y49" s="58">
        <f t="shared" si="55"/>
        <v>0.44603944241170368</v>
      </c>
      <c r="Z49" s="58">
        <f t="shared" si="55"/>
        <v>0.44603944241170368</v>
      </c>
      <c r="AA49" s="58">
        <f t="shared" si="55"/>
        <v>0.44603944241170368</v>
      </c>
      <c r="AB49" s="58">
        <f t="shared" si="55"/>
        <v>0.44603944241170368</v>
      </c>
      <c r="AC49" s="58">
        <f t="shared" si="55"/>
        <v>0.44603944241170368</v>
      </c>
      <c r="AD49" s="58">
        <f t="shared" si="55"/>
        <v>0.44603944241170368</v>
      </c>
      <c r="AE49" s="58">
        <f t="shared" si="55"/>
        <v>0.51518502861818161</v>
      </c>
      <c r="AF49" s="58">
        <f t="shared" si="55"/>
        <v>0.51518502861818161</v>
      </c>
      <c r="AG49" s="58">
        <f t="shared" si="55"/>
        <v>0.51518502861818161</v>
      </c>
      <c r="AH49" s="58">
        <f t="shared" si="55"/>
        <v>0.51518502861818161</v>
      </c>
      <c r="AI49" s="58">
        <f t="shared" si="55"/>
        <v>0.51518502861818161</v>
      </c>
      <c r="AJ49" s="58">
        <f t="shared" si="55"/>
        <v>0.51518502861818161</v>
      </c>
      <c r="AK49" s="58">
        <f t="shared" si="55"/>
        <v>0.51518502861818161</v>
      </c>
      <c r="AL49" s="58">
        <f t="shared" si="55"/>
        <v>0.51518502861818161</v>
      </c>
      <c r="AM49" s="58">
        <f t="shared" si="55"/>
        <v>0.51518502861818161</v>
      </c>
      <c r="AN49" s="58">
        <f t="shared" si="55"/>
        <v>0.51518502861818161</v>
      </c>
      <c r="AO49" s="58">
        <f t="shared" si="55"/>
        <v>0.51518502861818161</v>
      </c>
      <c r="AP49" s="58">
        <f t="shared" si="55"/>
        <v>0.51518502861818161</v>
      </c>
      <c r="AQ49" s="58">
        <f t="shared" si="55"/>
        <v>0.52266205868000504</v>
      </c>
      <c r="AR49" s="58">
        <f t="shared" si="55"/>
        <v>0.52266205868000504</v>
      </c>
      <c r="AS49" s="58">
        <f t="shared" si="55"/>
        <v>0.52266205868000504</v>
      </c>
      <c r="AT49" s="58">
        <f t="shared" si="55"/>
        <v>0.52266205868000504</v>
      </c>
      <c r="AU49" s="58">
        <f t="shared" si="55"/>
        <v>0.52266205868000504</v>
      </c>
      <c r="AV49" s="58">
        <f t="shared" si="55"/>
        <v>0.52266205868000504</v>
      </c>
      <c r="AW49" s="58">
        <f t="shared" si="55"/>
        <v>0.52266205868000504</v>
      </c>
      <c r="AX49" s="58">
        <f t="shared" si="55"/>
        <v>0.52266205868000504</v>
      </c>
      <c r="AY49" s="58">
        <f t="shared" si="55"/>
        <v>0.52266205868000504</v>
      </c>
      <c r="AZ49" s="58">
        <f t="shared" si="55"/>
        <v>0.52266205868000504</v>
      </c>
      <c r="BA49" s="58">
        <f t="shared" si="55"/>
        <v>0.52266205868000504</v>
      </c>
      <c r="BB49" s="58">
        <f t="shared" si="55"/>
        <v>0.52266205868000504</v>
      </c>
      <c r="BC49" s="58">
        <f t="shared" si="55"/>
        <v>0.52279799700318486</v>
      </c>
      <c r="BD49" s="58">
        <f t="shared" si="55"/>
        <v>0.52279799700318486</v>
      </c>
      <c r="BE49" s="58">
        <f t="shared" si="55"/>
        <v>0.52279799700318486</v>
      </c>
      <c r="BF49" s="58">
        <f t="shared" si="55"/>
        <v>0.52279799700318486</v>
      </c>
      <c r="BG49" s="58">
        <f t="shared" si="55"/>
        <v>0.52279799700318486</v>
      </c>
      <c r="BH49" s="58">
        <f t="shared" si="55"/>
        <v>0.52279799700318486</v>
      </c>
      <c r="BI49" s="58">
        <f t="shared" si="55"/>
        <v>0.52279799700318486</v>
      </c>
      <c r="BJ49" s="58">
        <f t="shared" si="55"/>
        <v>0.52279799700318486</v>
      </c>
      <c r="BK49" s="58">
        <f t="shared" si="55"/>
        <v>0.52279799700318486</v>
      </c>
      <c r="BL49" s="58">
        <f t="shared" si="55"/>
        <v>0.52279799700318486</v>
      </c>
      <c r="BM49" s="58">
        <f t="shared" si="55"/>
        <v>0.52279799700318486</v>
      </c>
      <c r="BN49" s="58">
        <f t="shared" si="55"/>
        <v>0.52279799700318486</v>
      </c>
      <c r="BO49" s="58">
        <f t="shared" si="55"/>
        <v>0.52293704625886483</v>
      </c>
      <c r="BP49" s="58">
        <f t="shared" si="55"/>
        <v>0.52293704625886483</v>
      </c>
      <c r="BQ49" s="58">
        <f t="shared" si="55"/>
        <v>0.52293704625886483</v>
      </c>
      <c r="BR49" s="58">
        <f t="shared" si="55"/>
        <v>0.52293704625886483</v>
      </c>
      <c r="BS49" s="58">
        <f t="shared" si="55"/>
        <v>0.52293704625886483</v>
      </c>
      <c r="BT49" s="58">
        <f t="shared" ref="BT49:CL49" si="56">BT43/BT26</f>
        <v>0.52293704625886483</v>
      </c>
      <c r="BU49" s="58">
        <f t="shared" si="56"/>
        <v>0.52293704625886483</v>
      </c>
      <c r="BV49" s="58">
        <f t="shared" si="56"/>
        <v>0.52293704625886483</v>
      </c>
      <c r="BW49" s="58">
        <f t="shared" si="56"/>
        <v>0.52293704625886483</v>
      </c>
      <c r="BX49" s="58">
        <f t="shared" si="56"/>
        <v>0.52293704625886483</v>
      </c>
      <c r="BY49" s="58">
        <f t="shared" si="56"/>
        <v>0.52293704625886483</v>
      </c>
      <c r="BZ49" s="58">
        <f t="shared" si="56"/>
        <v>0.52293704625886483</v>
      </c>
      <c r="CA49" s="58">
        <f t="shared" si="56"/>
        <v>0.52302170682263238</v>
      </c>
      <c r="CB49" s="58">
        <f t="shared" si="56"/>
        <v>0.52302170682263238</v>
      </c>
      <c r="CC49" s="58">
        <f t="shared" si="56"/>
        <v>0.52302170682263238</v>
      </c>
      <c r="CD49" s="58">
        <f t="shared" si="56"/>
        <v>0.52302170682263238</v>
      </c>
      <c r="CE49" s="58">
        <f t="shared" si="56"/>
        <v>0.52302170682263238</v>
      </c>
      <c r="CF49" s="58">
        <f t="shared" si="56"/>
        <v>0.52302170682263238</v>
      </c>
      <c r="CG49" s="58">
        <f t="shared" si="56"/>
        <v>0.52302170682263238</v>
      </c>
      <c r="CH49" s="58">
        <f t="shared" si="56"/>
        <v>0.52302170682263238</v>
      </c>
      <c r="CI49" s="58">
        <f t="shared" si="56"/>
        <v>0.52302170682263238</v>
      </c>
      <c r="CJ49" s="58">
        <f t="shared" si="56"/>
        <v>0.52302170682263238</v>
      </c>
      <c r="CK49" s="58">
        <f t="shared" si="56"/>
        <v>0.52302170682263238</v>
      </c>
      <c r="CL49" s="58">
        <f t="shared" si="56"/>
        <v>0.52302170682263238</v>
      </c>
      <c r="CM49" s="172"/>
      <c r="CN49" s="172"/>
      <c r="CO49" s="172"/>
      <c r="CP49" s="172"/>
      <c r="CQ49" s="172"/>
      <c r="CR49" s="172"/>
      <c r="CS49" s="172"/>
      <c r="CT49" s="172"/>
      <c r="CU49" s="172"/>
      <c r="CV49" s="172"/>
      <c r="CW49" s="172"/>
      <c r="CX49" s="172"/>
    </row>
    <row r="51" spans="2:188" ht="12.6" customHeight="1" x14ac:dyDescent="0.2">
      <c r="B51" s="35" t="s">
        <v>111</v>
      </c>
    </row>
    <row r="52" spans="2:188" ht="12.6" customHeight="1" x14ac:dyDescent="0.2">
      <c r="B52" s="116" t="s">
        <v>112</v>
      </c>
      <c r="D52" s="29"/>
      <c r="F52" s="40">
        <f>-Assumptions!$B$32*(F7='DCF Model'!$D$3)</f>
        <v>-20000000</v>
      </c>
      <c r="G52" s="64">
        <f>-Assumptions!$B$32*(G7='DCF Model'!$D$3)</f>
        <v>0</v>
      </c>
      <c r="H52" s="64">
        <f>-Assumptions!$B$32*(H7='DCF Model'!$D$3)</f>
        <v>0</v>
      </c>
      <c r="I52" s="64">
        <f>-Assumptions!$B$32*(I7='DCF Model'!$D$3)</f>
        <v>0</v>
      </c>
      <c r="J52" s="64">
        <f>-Assumptions!$B$32*(J7='DCF Model'!$D$3)</f>
        <v>0</v>
      </c>
      <c r="K52" s="64">
        <f>-Assumptions!$B$32*(K7='DCF Model'!$D$3)</f>
        <v>0</v>
      </c>
      <c r="L52" s="64">
        <f>-Assumptions!$B$32*(L7='DCF Model'!$D$3)</f>
        <v>0</v>
      </c>
      <c r="M52" s="64">
        <f>-Assumptions!$B$32*(M7='DCF Model'!$D$3)</f>
        <v>0</v>
      </c>
      <c r="N52" s="64">
        <f>-Assumptions!$B$32*(N7='DCF Model'!$D$3)</f>
        <v>0</v>
      </c>
      <c r="O52" s="64">
        <f>-Assumptions!$B$32*(O7='DCF Model'!$D$3)</f>
        <v>0</v>
      </c>
      <c r="P52" s="64">
        <f>-Assumptions!$B$32*(P7='DCF Model'!$D$3)</f>
        <v>0</v>
      </c>
      <c r="Q52" s="64">
        <f>-Assumptions!$B$32*(Q7='DCF Model'!$D$3)</f>
        <v>0</v>
      </c>
      <c r="R52" s="64">
        <f>-Assumptions!$B$32*(R7='DCF Model'!$D$3)</f>
        <v>0</v>
      </c>
      <c r="S52" s="64">
        <f>-Assumptions!$B$32*(S7='DCF Model'!$D$3)</f>
        <v>0</v>
      </c>
      <c r="T52" s="64">
        <f>-Assumptions!$B$32*(T7='DCF Model'!$D$3)</f>
        <v>0</v>
      </c>
      <c r="U52" s="64">
        <f>-Assumptions!$B$32*(U7='DCF Model'!$D$3)</f>
        <v>0</v>
      </c>
      <c r="V52" s="64">
        <f>-Assumptions!$B$32*(V7='DCF Model'!$D$3)</f>
        <v>0</v>
      </c>
      <c r="W52" s="64">
        <f>-Assumptions!$B$32*(W7='DCF Model'!$D$3)</f>
        <v>0</v>
      </c>
      <c r="X52" s="64">
        <f>-Assumptions!$B$32*(X7='DCF Model'!$D$3)</f>
        <v>0</v>
      </c>
      <c r="Y52" s="64">
        <f>-Assumptions!$B$32*(Y7='DCF Model'!$D$3)</f>
        <v>0</v>
      </c>
      <c r="Z52" s="64">
        <f>-Assumptions!$B$32*(Z7='DCF Model'!$D$3)</f>
        <v>0</v>
      </c>
      <c r="AA52" s="64">
        <f>-Assumptions!$B$32*(AA7='DCF Model'!$D$3)</f>
        <v>0</v>
      </c>
      <c r="AB52" s="64">
        <f>-Assumptions!$B$32*(AB7='DCF Model'!$D$3)</f>
        <v>0</v>
      </c>
      <c r="AC52" s="64">
        <f>-Assumptions!$B$32*(AC7='DCF Model'!$D$3)</f>
        <v>0</v>
      </c>
      <c r="AD52" s="64">
        <f>-Assumptions!$B$32*(AD7='DCF Model'!$D$3)</f>
        <v>0</v>
      </c>
      <c r="AE52" s="64">
        <f>-Assumptions!$B$32*(AE7='DCF Model'!$D$3)</f>
        <v>0</v>
      </c>
      <c r="AF52" s="64">
        <f>-Assumptions!$B$32*(AF7='DCF Model'!$D$3)</f>
        <v>0</v>
      </c>
      <c r="AG52" s="64">
        <f>-Assumptions!$B$32*(AG7='DCF Model'!$D$3)</f>
        <v>0</v>
      </c>
      <c r="AH52" s="64">
        <f>-Assumptions!$B$32*(AH7='DCF Model'!$D$3)</f>
        <v>0</v>
      </c>
      <c r="AI52" s="64">
        <f>-Assumptions!$B$32*(AI7='DCF Model'!$D$3)</f>
        <v>0</v>
      </c>
      <c r="AJ52" s="64">
        <f>-Assumptions!$B$32*(AJ7='DCF Model'!$D$3)</f>
        <v>0</v>
      </c>
      <c r="AK52" s="64">
        <f>-Assumptions!$B$32*(AK7='DCF Model'!$D$3)</f>
        <v>0</v>
      </c>
      <c r="AL52" s="64">
        <f>-Assumptions!$B$32*(AL7='DCF Model'!$D$3)</f>
        <v>0</v>
      </c>
      <c r="AM52" s="64">
        <f>-Assumptions!$B$32*(AM7='DCF Model'!$D$3)</f>
        <v>0</v>
      </c>
      <c r="AN52" s="64">
        <f>-Assumptions!$B$32*(AN7='DCF Model'!$D$3)</f>
        <v>0</v>
      </c>
      <c r="AO52" s="64">
        <f>-Assumptions!$B$32*(AO7='DCF Model'!$D$3)</f>
        <v>0</v>
      </c>
      <c r="AP52" s="64">
        <f>-Assumptions!$B$32*(AP7='DCF Model'!$D$3)</f>
        <v>0</v>
      </c>
      <c r="AQ52" s="64">
        <f>-Assumptions!$B$32*(AQ7='DCF Model'!$D$3)</f>
        <v>0</v>
      </c>
      <c r="AR52" s="64">
        <f>-Assumptions!$B$32*(AR7='DCF Model'!$D$3)</f>
        <v>0</v>
      </c>
      <c r="AS52" s="64">
        <f>-Assumptions!$B$32*(AS7='DCF Model'!$D$3)</f>
        <v>0</v>
      </c>
      <c r="AT52" s="64">
        <f>-Assumptions!$B$32*(AT7='DCF Model'!$D$3)</f>
        <v>0</v>
      </c>
      <c r="AU52" s="64">
        <f>-Assumptions!$B$32*(AU7='DCF Model'!$D$3)</f>
        <v>0</v>
      </c>
      <c r="AV52" s="64">
        <f>-Assumptions!$B$32*(AV7='DCF Model'!$D$3)</f>
        <v>0</v>
      </c>
      <c r="AW52" s="64">
        <f>-Assumptions!$B$32*(AW7='DCF Model'!$D$3)</f>
        <v>0</v>
      </c>
      <c r="AX52" s="64">
        <f>-Assumptions!$B$32*(AX7='DCF Model'!$D$3)</f>
        <v>0</v>
      </c>
      <c r="AY52" s="64">
        <f>-Assumptions!$B$32*(AY7='DCF Model'!$D$3)</f>
        <v>0</v>
      </c>
      <c r="AZ52" s="64">
        <f>-Assumptions!$B$32*(AZ7='DCF Model'!$D$3)</f>
        <v>0</v>
      </c>
      <c r="BA52" s="64">
        <f>-Assumptions!$B$32*(BA7='DCF Model'!$D$3)</f>
        <v>0</v>
      </c>
      <c r="BB52" s="64">
        <f>-Assumptions!$B$32*(BB7='DCF Model'!$D$3)</f>
        <v>0</v>
      </c>
      <c r="BC52" s="64">
        <f>-Assumptions!$B$32*(BC7='DCF Model'!$D$3)</f>
        <v>0</v>
      </c>
      <c r="BD52" s="64">
        <f>-Assumptions!$B$32*(BD7='DCF Model'!$D$3)</f>
        <v>0</v>
      </c>
      <c r="BE52" s="64">
        <f>-Assumptions!$B$32*(BE7='DCF Model'!$D$3)</f>
        <v>0</v>
      </c>
      <c r="BF52" s="64">
        <f>-Assumptions!$B$32*(BF7='DCF Model'!$D$3)</f>
        <v>0</v>
      </c>
      <c r="BG52" s="64">
        <f>-Assumptions!$B$32*(BG7='DCF Model'!$D$3)</f>
        <v>0</v>
      </c>
      <c r="BH52" s="64">
        <f>-Assumptions!$B$32*(BH7='DCF Model'!$D$3)</f>
        <v>0</v>
      </c>
      <c r="BI52" s="64">
        <f>-Assumptions!$B$32*(BI7='DCF Model'!$D$3)</f>
        <v>0</v>
      </c>
      <c r="BJ52" s="64">
        <f>-Assumptions!$B$32*(BJ7='DCF Model'!$D$3)</f>
        <v>0</v>
      </c>
      <c r="BK52" s="64">
        <f>-Assumptions!$B$32*(BK7='DCF Model'!$D$3)</f>
        <v>0</v>
      </c>
      <c r="BL52" s="64">
        <f>-Assumptions!$B$32*(BL7='DCF Model'!$D$3)</f>
        <v>0</v>
      </c>
      <c r="BM52" s="64">
        <f>-Assumptions!$B$32*(BM7='DCF Model'!$D$3)</f>
        <v>0</v>
      </c>
      <c r="BN52" s="64">
        <f>-Assumptions!$B$32*(BN7='DCF Model'!$D$3)</f>
        <v>0</v>
      </c>
      <c r="BO52" s="64">
        <f>-Assumptions!$B$32*(BO7='DCF Model'!$D$3)</f>
        <v>0</v>
      </c>
      <c r="BP52" s="64">
        <f>-Assumptions!$B$32*(BP7='DCF Model'!$D$3)</f>
        <v>0</v>
      </c>
      <c r="BQ52" s="64">
        <f>-Assumptions!$B$32*(BQ7='DCF Model'!$D$3)</f>
        <v>0</v>
      </c>
      <c r="BR52" s="64">
        <f>-Assumptions!$B$32*(BR7='DCF Model'!$D$3)</f>
        <v>0</v>
      </c>
      <c r="BS52" s="64">
        <f>-Assumptions!$B$32*(BS7='DCF Model'!$D$3)</f>
        <v>0</v>
      </c>
      <c r="BT52" s="64">
        <f>-Assumptions!$B$32*(BT7='DCF Model'!$D$3)</f>
        <v>0</v>
      </c>
      <c r="BU52" s="64">
        <f>-Assumptions!$B$32*(BU7='DCF Model'!$D$3)</f>
        <v>0</v>
      </c>
      <c r="BV52" s="64">
        <f>-Assumptions!$B$32*(BV7='DCF Model'!$D$3)</f>
        <v>0</v>
      </c>
      <c r="BW52" s="64">
        <f>-Assumptions!$B$32*(BW7='DCF Model'!$D$3)</f>
        <v>0</v>
      </c>
      <c r="BX52" s="64">
        <f>-Assumptions!$B$32*(BX7='DCF Model'!$D$3)</f>
        <v>0</v>
      </c>
      <c r="BY52" s="64">
        <f>-Assumptions!$B$32*(BY7='DCF Model'!$D$3)</f>
        <v>0</v>
      </c>
      <c r="BZ52" s="64">
        <f>-Assumptions!$B$32*(BZ7='DCF Model'!$D$3)</f>
        <v>0</v>
      </c>
      <c r="CA52" s="64">
        <f>-Assumptions!$B$32*(CA7='DCF Model'!$D$3)</f>
        <v>0</v>
      </c>
      <c r="CB52" s="64">
        <f>-Assumptions!$B$32*(CB7='DCF Model'!$D$3)</f>
        <v>0</v>
      </c>
      <c r="CC52" s="64">
        <f>-Assumptions!$B$32*(CC7='DCF Model'!$D$3)</f>
        <v>0</v>
      </c>
      <c r="CD52" s="64">
        <f>-Assumptions!$B$32*(CD7='DCF Model'!$D$3)</f>
        <v>0</v>
      </c>
      <c r="CE52" s="64">
        <f>-Assumptions!$B$32*(CE7='DCF Model'!$D$3)</f>
        <v>0</v>
      </c>
      <c r="CF52" s="64">
        <f>-Assumptions!$B$32*(CF7='DCF Model'!$D$3)</f>
        <v>0</v>
      </c>
      <c r="CG52" s="64">
        <f>-Assumptions!$B$32*(CG7='DCF Model'!$D$3)</f>
        <v>0</v>
      </c>
      <c r="CH52" s="64">
        <f>-Assumptions!$B$32*(CH7='DCF Model'!$D$3)</f>
        <v>0</v>
      </c>
      <c r="CI52" s="64">
        <f>-Assumptions!$B$32*(CI7='DCF Model'!$D$3)</f>
        <v>0</v>
      </c>
      <c r="CJ52" s="64">
        <f>-Assumptions!$B$32*(CJ7='DCF Model'!$D$3)</f>
        <v>0</v>
      </c>
      <c r="CK52" s="64">
        <f>-Assumptions!$B$32*(CK7='DCF Model'!$D$3)</f>
        <v>0</v>
      </c>
      <c r="CL52" s="64">
        <f>-Assumptions!$B$32*(CL7='DCF Model'!$D$3)</f>
        <v>0</v>
      </c>
      <c r="CM52" s="173"/>
      <c r="CN52" s="173"/>
      <c r="CO52" s="173"/>
      <c r="CP52" s="173"/>
      <c r="CQ52" s="173"/>
      <c r="CR52" s="173"/>
      <c r="CS52" s="173"/>
      <c r="CT52" s="173"/>
      <c r="CU52" s="173"/>
      <c r="CV52" s="173"/>
      <c r="CW52" s="173"/>
      <c r="CX52" s="173"/>
    </row>
    <row r="53" spans="2:188" ht="12.6" customHeight="1" x14ac:dyDescent="0.2">
      <c r="B53" s="116" t="s">
        <v>113</v>
      </c>
      <c r="F53" s="57">
        <f>F52*Assumptions!B33</f>
        <v>-400000</v>
      </c>
      <c r="G53" s="64">
        <f>G52*Assumptions!$C$33</f>
        <v>0</v>
      </c>
      <c r="H53" s="64">
        <f>H52*Assumptions!$C$33</f>
        <v>0</v>
      </c>
      <c r="I53" s="64">
        <f>I52*Assumptions!$C$33</f>
        <v>0</v>
      </c>
      <c r="J53" s="64">
        <f>J52*Assumptions!$C$33</f>
        <v>0</v>
      </c>
      <c r="K53" s="64">
        <f>K52*Assumptions!$C$33</f>
        <v>0</v>
      </c>
      <c r="L53" s="64">
        <f>L52*Assumptions!$C$33</f>
        <v>0</v>
      </c>
      <c r="M53" s="64">
        <f>M52*Assumptions!$C$33</f>
        <v>0</v>
      </c>
      <c r="N53" s="64">
        <f>N52*Assumptions!$C$33</f>
        <v>0</v>
      </c>
      <c r="O53" s="64">
        <f>O52*Assumptions!$C$33</f>
        <v>0</v>
      </c>
      <c r="P53" s="64">
        <f>P52*Assumptions!$C$33</f>
        <v>0</v>
      </c>
      <c r="Q53" s="64">
        <f>Q52*Assumptions!$C$33</f>
        <v>0</v>
      </c>
      <c r="R53" s="64">
        <f>R52*Assumptions!$C$33</f>
        <v>0</v>
      </c>
      <c r="S53" s="64">
        <f>S52*Assumptions!$C$33</f>
        <v>0</v>
      </c>
      <c r="T53" s="64">
        <f>T52*Assumptions!$C$33</f>
        <v>0</v>
      </c>
      <c r="U53" s="64">
        <f>U52*Assumptions!$C$33</f>
        <v>0</v>
      </c>
      <c r="V53" s="64">
        <f>V52*Assumptions!$C$33</f>
        <v>0</v>
      </c>
      <c r="W53" s="64">
        <f>W52*Assumptions!$C$33</f>
        <v>0</v>
      </c>
      <c r="X53" s="64">
        <f>X52*Assumptions!$C$33</f>
        <v>0</v>
      </c>
      <c r="Y53" s="64">
        <f>Y52*Assumptions!$C$33</f>
        <v>0</v>
      </c>
      <c r="Z53" s="64">
        <f>Z52*Assumptions!$C$33</f>
        <v>0</v>
      </c>
      <c r="AA53" s="64">
        <f>AA52*Assumptions!$C$33</f>
        <v>0</v>
      </c>
      <c r="AB53" s="64">
        <f>AB52*Assumptions!$C$33</f>
        <v>0</v>
      </c>
      <c r="AC53" s="64">
        <f>AC52*Assumptions!$C$33</f>
        <v>0</v>
      </c>
      <c r="AD53" s="64">
        <f>AD52*Assumptions!$C$33</f>
        <v>0</v>
      </c>
      <c r="AE53" s="64">
        <f>AE52*Assumptions!$C$33</f>
        <v>0</v>
      </c>
      <c r="AF53" s="64">
        <f>AF52*Assumptions!$C$33</f>
        <v>0</v>
      </c>
      <c r="AG53" s="64">
        <f>AG52*Assumptions!$C$33</f>
        <v>0</v>
      </c>
      <c r="AH53" s="64">
        <f>AH52*Assumptions!$C$33</f>
        <v>0</v>
      </c>
      <c r="AI53" s="64">
        <f>AI52*Assumptions!$C$33</f>
        <v>0</v>
      </c>
      <c r="AJ53" s="64">
        <f>AJ52*Assumptions!$C$33</f>
        <v>0</v>
      </c>
      <c r="AK53" s="64">
        <f>AK52*Assumptions!$C$33</f>
        <v>0</v>
      </c>
      <c r="AL53" s="64">
        <f>AL52*Assumptions!$C$33</f>
        <v>0</v>
      </c>
      <c r="AM53" s="64">
        <f>AM52*Assumptions!$C$33</f>
        <v>0</v>
      </c>
      <c r="AN53" s="64">
        <f>AN52*Assumptions!$C$33</f>
        <v>0</v>
      </c>
      <c r="AO53" s="64">
        <f>AO52*Assumptions!$C$33</f>
        <v>0</v>
      </c>
      <c r="AP53" s="64">
        <f>AP52*Assumptions!$C$33</f>
        <v>0</v>
      </c>
      <c r="AQ53" s="64">
        <f>AQ52*Assumptions!$C$33</f>
        <v>0</v>
      </c>
      <c r="AR53" s="64">
        <f>AR52*Assumptions!$C$33</f>
        <v>0</v>
      </c>
      <c r="AS53" s="64">
        <f>AS52*Assumptions!$C$33</f>
        <v>0</v>
      </c>
      <c r="AT53" s="64">
        <f>AT52*Assumptions!$C$33</f>
        <v>0</v>
      </c>
      <c r="AU53" s="64">
        <f>AU52*Assumptions!$C$33</f>
        <v>0</v>
      </c>
      <c r="AV53" s="64">
        <f>AV52*Assumptions!$C$33</f>
        <v>0</v>
      </c>
      <c r="AW53" s="64">
        <f>AW52*Assumptions!$C$33</f>
        <v>0</v>
      </c>
      <c r="AX53" s="64">
        <f>AX52*Assumptions!$C$33</f>
        <v>0</v>
      </c>
      <c r="AY53" s="64">
        <f>AY52*Assumptions!$C$33</f>
        <v>0</v>
      </c>
      <c r="AZ53" s="64">
        <f>AZ52*Assumptions!$C$33</f>
        <v>0</v>
      </c>
      <c r="BA53" s="64">
        <f>BA52*Assumptions!$C$33</f>
        <v>0</v>
      </c>
      <c r="BB53" s="64">
        <f>BB52*Assumptions!$C$33</f>
        <v>0</v>
      </c>
      <c r="BC53" s="64">
        <f>BC52*Assumptions!$C$33</f>
        <v>0</v>
      </c>
      <c r="BD53" s="64">
        <f>BD52*Assumptions!$C$33</f>
        <v>0</v>
      </c>
      <c r="BE53" s="64">
        <f>BE52*Assumptions!$C$33</f>
        <v>0</v>
      </c>
      <c r="BF53" s="64">
        <f>BF52*Assumptions!$C$33</f>
        <v>0</v>
      </c>
      <c r="BG53" s="64">
        <f>BG52*Assumptions!$C$33</f>
        <v>0</v>
      </c>
      <c r="BH53" s="64">
        <f>BH52*Assumptions!$C$33</f>
        <v>0</v>
      </c>
      <c r="BI53" s="64">
        <f>BI52*Assumptions!$C$33</f>
        <v>0</v>
      </c>
      <c r="BJ53" s="64">
        <f>BJ52*Assumptions!$C$33</f>
        <v>0</v>
      </c>
      <c r="BK53" s="64">
        <f>BK52*Assumptions!$C$33</f>
        <v>0</v>
      </c>
      <c r="BL53" s="64">
        <f>BL52*Assumptions!$C$33</f>
        <v>0</v>
      </c>
      <c r="BM53" s="64">
        <f>BM52*Assumptions!$C$33</f>
        <v>0</v>
      </c>
      <c r="BN53" s="64">
        <f>BN52*Assumptions!$C$33</f>
        <v>0</v>
      </c>
      <c r="BO53" s="64">
        <f>BO52*Assumptions!$C$33</f>
        <v>0</v>
      </c>
      <c r="BP53" s="64">
        <f>BP52*Assumptions!$C$33</f>
        <v>0</v>
      </c>
      <c r="BQ53" s="64">
        <f>BQ52*Assumptions!$C$33</f>
        <v>0</v>
      </c>
      <c r="BR53" s="64">
        <f>BR52*Assumptions!$C$33</f>
        <v>0</v>
      </c>
      <c r="BS53" s="64">
        <f>BS52*Assumptions!$C$33</f>
        <v>0</v>
      </c>
      <c r="BT53" s="64">
        <f>BT52*Assumptions!$C$33</f>
        <v>0</v>
      </c>
      <c r="BU53" s="64">
        <f>BU52*Assumptions!$C$33</f>
        <v>0</v>
      </c>
      <c r="BV53" s="64">
        <f>BV52*Assumptions!$C$33</f>
        <v>0</v>
      </c>
      <c r="BW53" s="64">
        <f>BW52*Assumptions!$C$33</f>
        <v>0</v>
      </c>
      <c r="BX53" s="64">
        <f>BX52*Assumptions!$C$33</f>
        <v>0</v>
      </c>
      <c r="BY53" s="64">
        <f>BY52*Assumptions!$C$33</f>
        <v>0</v>
      </c>
      <c r="BZ53" s="64">
        <f>BZ52*Assumptions!$C$33</f>
        <v>0</v>
      </c>
      <c r="CA53" s="64">
        <f>CA52*Assumptions!$C$33</f>
        <v>0</v>
      </c>
      <c r="CB53" s="64">
        <f>CB52*Assumptions!$C$33</f>
        <v>0</v>
      </c>
      <c r="CC53" s="64">
        <f>CC52*Assumptions!$C$33</f>
        <v>0</v>
      </c>
      <c r="CD53" s="64">
        <f>CD52*Assumptions!$C$33</f>
        <v>0</v>
      </c>
      <c r="CE53" s="64">
        <f>CE52*Assumptions!$C$33</f>
        <v>0</v>
      </c>
      <c r="CF53" s="64">
        <f>CF52*Assumptions!$C$33</f>
        <v>0</v>
      </c>
      <c r="CG53" s="64">
        <f>CG52*Assumptions!$C$33</f>
        <v>0</v>
      </c>
      <c r="CH53" s="64">
        <f>CH52*Assumptions!$C$33</f>
        <v>0</v>
      </c>
      <c r="CI53" s="64">
        <f>CI52*Assumptions!$C$33</f>
        <v>0</v>
      </c>
      <c r="CJ53" s="64">
        <f>CJ52*Assumptions!$C$33</f>
        <v>0</v>
      </c>
      <c r="CK53" s="64">
        <f>CK52*Assumptions!$C$33</f>
        <v>0</v>
      </c>
      <c r="CL53" s="64">
        <f>CL52*Assumptions!$C$33</f>
        <v>0</v>
      </c>
      <c r="CM53" s="173"/>
      <c r="CN53" s="173"/>
      <c r="CO53" s="173"/>
      <c r="CP53" s="173"/>
      <c r="CQ53" s="173"/>
      <c r="CR53" s="173"/>
      <c r="CS53" s="173"/>
      <c r="CT53" s="173"/>
      <c r="CU53" s="173"/>
      <c r="CV53" s="173"/>
      <c r="CW53" s="173"/>
      <c r="CX53" s="173"/>
      <c r="CY53" s="64"/>
      <c r="CZ53" s="64"/>
      <c r="DA53" s="64"/>
      <c r="DB53" s="64"/>
      <c r="DC53" s="64"/>
      <c r="DD53" s="64"/>
      <c r="DE53" s="64"/>
      <c r="DF53" s="64"/>
      <c r="DG53" s="64"/>
      <c r="DH53" s="64"/>
      <c r="DI53" s="64"/>
      <c r="DJ53" s="64"/>
      <c r="DK53" s="64"/>
      <c r="DL53" s="64"/>
      <c r="DM53" s="64"/>
      <c r="DN53" s="64"/>
      <c r="DO53" s="64"/>
      <c r="DP53" s="64"/>
      <c r="DQ53" s="64"/>
      <c r="DR53" s="64"/>
      <c r="DS53" s="64"/>
      <c r="DT53" s="64"/>
      <c r="DU53" s="64"/>
      <c r="DV53" s="64"/>
      <c r="DW53" s="64"/>
      <c r="DX53" s="64"/>
      <c r="DY53" s="64"/>
      <c r="DZ53" s="64"/>
      <c r="EA53" s="64"/>
      <c r="EB53" s="64"/>
      <c r="EC53" s="64"/>
      <c r="ED53" s="64"/>
      <c r="EE53" s="64"/>
      <c r="EF53" s="64"/>
      <c r="EG53" s="64"/>
      <c r="EH53" s="64"/>
      <c r="EI53" s="64"/>
      <c r="EJ53" s="64"/>
      <c r="EK53" s="64"/>
      <c r="EL53" s="64"/>
      <c r="EM53" s="64"/>
      <c r="EN53" s="64"/>
      <c r="EO53" s="64"/>
      <c r="EP53" s="64"/>
      <c r="EQ53" s="64"/>
      <c r="ER53" s="64"/>
      <c r="ES53" s="64"/>
      <c r="ET53" s="64"/>
      <c r="EU53" s="64"/>
      <c r="EV53" s="64"/>
      <c r="EW53" s="64"/>
      <c r="EX53" s="64"/>
      <c r="EY53" s="64"/>
      <c r="EZ53" s="64"/>
      <c r="FA53" s="64"/>
      <c r="FB53" s="64"/>
      <c r="FC53" s="64"/>
      <c r="FD53" s="64"/>
      <c r="FE53" s="64"/>
      <c r="FF53" s="64"/>
      <c r="FG53" s="64"/>
      <c r="FH53" s="64"/>
      <c r="FI53" s="64"/>
      <c r="FJ53" s="64"/>
      <c r="FK53" s="64"/>
      <c r="FL53" s="64"/>
      <c r="FM53" s="64"/>
      <c r="FN53" s="64"/>
      <c r="FO53" s="64"/>
      <c r="FP53" s="64"/>
      <c r="FQ53" s="64"/>
      <c r="FR53" s="64"/>
      <c r="FS53" s="64"/>
      <c r="FT53" s="64"/>
      <c r="FU53" s="64"/>
      <c r="FV53" s="64"/>
      <c r="FW53" s="64"/>
      <c r="FX53" s="64"/>
      <c r="FY53" s="64"/>
      <c r="FZ53" s="64"/>
      <c r="GA53" s="64"/>
      <c r="GB53" s="64"/>
      <c r="GC53" s="64"/>
      <c r="GD53" s="64"/>
      <c r="GE53" s="64"/>
      <c r="GF53" s="64"/>
    </row>
    <row r="54" spans="2:188" ht="12.6" customHeight="1" x14ac:dyDescent="0.2">
      <c r="B54" s="116" t="s">
        <v>114</v>
      </c>
      <c r="F54" s="64">
        <f>F$48/Assumptions!$B$36*(F7=$D$4)</f>
        <v>0</v>
      </c>
      <c r="G54" s="64">
        <f>G$48/Assumptions!$B$36*(G7=$D$4)</f>
        <v>0</v>
      </c>
      <c r="H54" s="64">
        <f>H$48/Assumptions!$B$36*(H7=$D$4)</f>
        <v>0</v>
      </c>
      <c r="I54" s="64">
        <f>I$48/Assumptions!$B$36*(I7=$D$4)</f>
        <v>0</v>
      </c>
      <c r="J54" s="64">
        <f>J$48/Assumptions!$B$36*(J7=$D$4)</f>
        <v>0</v>
      </c>
      <c r="K54" s="64">
        <f>K$48/Assumptions!$B$36*(K7=$D$4)</f>
        <v>0</v>
      </c>
      <c r="L54" s="64">
        <f>L$48/Assumptions!$B$36*(L7=$D$4)</f>
        <v>0</v>
      </c>
      <c r="M54" s="64">
        <f>M$48/Assumptions!$B$36*(M7=$D$4)</f>
        <v>0</v>
      </c>
      <c r="N54" s="64">
        <f>N$48/Assumptions!$B$36*(N7=$D$4)</f>
        <v>0</v>
      </c>
      <c r="O54" s="64">
        <f>O$48/Assumptions!$B$36*(O7=$D$4)</f>
        <v>0</v>
      </c>
      <c r="P54" s="64">
        <f>P$48/Assumptions!$B$36*(P7=$D$4)</f>
        <v>0</v>
      </c>
      <c r="Q54" s="64">
        <f>Q$48/Assumptions!$B$36*(Q7=$D$4)</f>
        <v>0</v>
      </c>
      <c r="R54" s="64">
        <f>R$48/Assumptions!$B$36*(R7=$D$4)</f>
        <v>0</v>
      </c>
      <c r="S54" s="64">
        <f>S$48/Assumptions!$B$36*(S7=$D$4)</f>
        <v>0</v>
      </c>
      <c r="T54" s="64">
        <f>T$48/Assumptions!$B$36*(T7=$D$4)</f>
        <v>0</v>
      </c>
      <c r="U54" s="64">
        <f>U$48/Assumptions!$B$36*(U7=$D$4)</f>
        <v>0</v>
      </c>
      <c r="V54" s="64">
        <f>V$48/Assumptions!$B$36*(V7=$D$4)</f>
        <v>0</v>
      </c>
      <c r="W54" s="64">
        <f>W$48/Assumptions!$B$36*(W7=$D$4)</f>
        <v>0</v>
      </c>
      <c r="X54" s="64">
        <f>X$48/Assumptions!$B$36*(X7=$D$4)</f>
        <v>0</v>
      </c>
      <c r="Y54" s="64">
        <f>Y$48/Assumptions!$B$36*(Y7=$D$4)</f>
        <v>0</v>
      </c>
      <c r="Z54" s="64">
        <f>Z$48/Assumptions!$B$36*(Z7=$D$4)</f>
        <v>0</v>
      </c>
      <c r="AA54" s="64">
        <f>AA$48/Assumptions!$B$36*(AA7=$D$4)</f>
        <v>0</v>
      </c>
      <c r="AB54" s="64">
        <f>AB$48/Assumptions!$B$36*(AB7=$D$4)</f>
        <v>0</v>
      </c>
      <c r="AC54" s="64">
        <f>AC$48/Assumptions!$B$36*(AC7=$D$4)</f>
        <v>0</v>
      </c>
      <c r="AD54" s="64">
        <f>AD$48/Assumptions!$B$36*(AD7=$D$4)</f>
        <v>0</v>
      </c>
      <c r="AE54" s="64">
        <f>AE$48/Assumptions!$B$36*(AE7=$D$4)</f>
        <v>0</v>
      </c>
      <c r="AF54" s="64">
        <f>AF$48/Assumptions!$B$36*(AF7=$D$4)</f>
        <v>0</v>
      </c>
      <c r="AG54" s="64">
        <f>AG$48/Assumptions!$B$36*(AG7=$D$4)</f>
        <v>0</v>
      </c>
      <c r="AH54" s="64">
        <f>AH$48/Assumptions!$B$36*(AH7=$D$4)</f>
        <v>0</v>
      </c>
      <c r="AI54" s="64">
        <f>AI$48/Assumptions!$B$36*(AI7=$D$4)</f>
        <v>0</v>
      </c>
      <c r="AJ54" s="64">
        <f>AJ$48/Assumptions!$B$36*(AJ7=$D$4)</f>
        <v>0</v>
      </c>
      <c r="AK54" s="64">
        <f>AK$48/Assumptions!$B$36*(AK7=$D$4)</f>
        <v>0</v>
      </c>
      <c r="AL54" s="64">
        <f>AL$48/Assumptions!$B$36*(AL7=$D$4)</f>
        <v>0</v>
      </c>
      <c r="AM54" s="64">
        <f>AM$48/Assumptions!$B$36*(AM7=$D$4)</f>
        <v>0</v>
      </c>
      <c r="AN54" s="64">
        <f>AN$48/Assumptions!$B$36*(AN7=$D$4)</f>
        <v>0</v>
      </c>
      <c r="AO54" s="64">
        <f>AO$48/Assumptions!$B$36*(AO7=$D$4)</f>
        <v>0</v>
      </c>
      <c r="AP54" s="64">
        <f>AP$48/Assumptions!$B$36*(AP7=$D$4)</f>
        <v>0</v>
      </c>
      <c r="AQ54" s="64">
        <f>AQ$48/Assumptions!$B$36*(AQ7=$D$4)</f>
        <v>0</v>
      </c>
      <c r="AR54" s="64">
        <f>AR$48/Assumptions!$B$36*(AR7=$D$4)</f>
        <v>0</v>
      </c>
      <c r="AS54" s="64">
        <f>AS$48/Assumptions!$B$36*(AS7=$D$4)</f>
        <v>0</v>
      </c>
      <c r="AT54" s="64">
        <f>AT$48/Assumptions!$B$36*(AT7=$D$4)</f>
        <v>0</v>
      </c>
      <c r="AU54" s="64">
        <f>AU$48/Assumptions!$B$36*(AU7=$D$4)</f>
        <v>0</v>
      </c>
      <c r="AV54" s="64">
        <f>AV$48/Assumptions!$B$36*(AV7=$D$4)</f>
        <v>0</v>
      </c>
      <c r="AW54" s="64">
        <f>AW$48/Assumptions!$B$36*(AW7=$D$4)</f>
        <v>0</v>
      </c>
      <c r="AX54" s="64">
        <f>AX$48/Assumptions!$B$36*(AX7=$D$4)</f>
        <v>0</v>
      </c>
      <c r="AY54" s="64">
        <f>AY$48/Assumptions!$B$36*(AY7=$D$4)</f>
        <v>0</v>
      </c>
      <c r="AZ54" s="64">
        <f>AZ$48/Assumptions!$B$36*(AZ7=$D$4)</f>
        <v>0</v>
      </c>
      <c r="BA54" s="64">
        <f>BA$48/Assumptions!$B$36*(BA7=$D$4)</f>
        <v>0</v>
      </c>
      <c r="BB54" s="64">
        <f>BB$48/Assumptions!$B$36*(BB7=$D$4)</f>
        <v>0</v>
      </c>
      <c r="BC54" s="64">
        <f>BC$48/Assumptions!$B$36*(BC7=$D$4)</f>
        <v>0</v>
      </c>
      <c r="BD54" s="64">
        <f>BD$48/Assumptions!$B$36*(BD7=$D$4)</f>
        <v>0</v>
      </c>
      <c r="BE54" s="64">
        <f>BE$48/Assumptions!$B$36*(BE7=$D$4)</f>
        <v>0</v>
      </c>
      <c r="BF54" s="64">
        <f>BF$48/Assumptions!$B$36*(BF7=$D$4)</f>
        <v>0</v>
      </c>
      <c r="BG54" s="64">
        <f>BG$48/Assumptions!$B$36*(BG7=$D$4)</f>
        <v>0</v>
      </c>
      <c r="BH54" s="64">
        <f>BH$48/Assumptions!$B$36*(BH7=$D$4)</f>
        <v>0</v>
      </c>
      <c r="BI54" s="64">
        <f>BI$48/Assumptions!$B$36*(BI7=$D$4)</f>
        <v>0</v>
      </c>
      <c r="BJ54" s="64">
        <f>BJ$48/Assumptions!$B$36*(BJ7=$D$4)</f>
        <v>0</v>
      </c>
      <c r="BK54" s="64">
        <f>BK$48/Assumptions!$B$36*(BK7=$D$4)</f>
        <v>0</v>
      </c>
      <c r="BL54" s="64">
        <f>BL$48/Assumptions!$B$36*(BL7=$D$4)</f>
        <v>0</v>
      </c>
      <c r="BM54" s="64">
        <f>BM$48/Assumptions!$B$36*(BM7=$D$4)</f>
        <v>0</v>
      </c>
      <c r="BN54" s="64">
        <f>BN$48/Assumptions!$B$36*(BN7=$D$4)</f>
        <v>0</v>
      </c>
      <c r="BO54" s="64">
        <f>BO$48/Assumptions!$B$36*(BO7=$D$4)</f>
        <v>0</v>
      </c>
      <c r="BP54" s="64">
        <f>BP$48/Assumptions!$B$36*(BP7=$D$4)</f>
        <v>0</v>
      </c>
      <c r="BQ54" s="64">
        <f>BQ$48/Assumptions!$B$36*(BQ7=$D$4)</f>
        <v>0</v>
      </c>
      <c r="BR54" s="64">
        <f>BR$48/Assumptions!$B$36*(BR7=$D$4)</f>
        <v>0</v>
      </c>
      <c r="BS54" s="64">
        <f>BS$48/Assumptions!$B$36*(BS7=$D$4)</f>
        <v>0</v>
      </c>
      <c r="BT54" s="64">
        <f>BT$48/Assumptions!$B$36*(BT7=$D$4)</f>
        <v>0</v>
      </c>
      <c r="BU54" s="64">
        <f>BU$48/Assumptions!$B$36*(BU7=$D$4)</f>
        <v>0</v>
      </c>
      <c r="BV54" s="64">
        <f>BV$48/Assumptions!$B$36*(BV7=$D$4)</f>
        <v>0</v>
      </c>
      <c r="BW54" s="64">
        <f>BW$48/Assumptions!$B$36*(BW7=$D$4)</f>
        <v>0</v>
      </c>
      <c r="BX54" s="64">
        <f>BX$48/Assumptions!$B$36*(BX7=$D$4)</f>
        <v>0</v>
      </c>
      <c r="BY54" s="64">
        <f>BY$48/Assumptions!$B$36*(BY7=$D$4)</f>
        <v>0</v>
      </c>
      <c r="BZ54" s="64">
        <f>BZ$48/Assumptions!$B$36*(BZ7=$D$4)</f>
        <v>0</v>
      </c>
      <c r="CA54" s="64">
        <f>CA$48/Assumptions!$B$36*(CA7=$D$4)</f>
        <v>0</v>
      </c>
      <c r="CB54" s="64">
        <f>CB$48/Assumptions!$B$36*(CB7=$D$4)</f>
        <v>0</v>
      </c>
      <c r="CC54" s="64">
        <f>CC$48/Assumptions!$B$36*(CC7=$D$4)</f>
        <v>0</v>
      </c>
      <c r="CD54" s="64">
        <f>CD$48/Assumptions!$B$36*(CD7=$D$4)</f>
        <v>0</v>
      </c>
      <c r="CE54" s="64">
        <f>CE$48/Assumptions!$B$36*(CE7=$D$4)</f>
        <v>0</v>
      </c>
      <c r="CF54" s="64">
        <f>CF$48/Assumptions!$B$36*(CF7=$D$4)</f>
        <v>0</v>
      </c>
      <c r="CG54" s="64">
        <f>CG$48/Assumptions!$B$36*(CG7=$D$4)</f>
        <v>0</v>
      </c>
      <c r="CH54" s="64">
        <f>CH$48/Assumptions!$B$36*(CH7=$D$4)</f>
        <v>0</v>
      </c>
      <c r="CI54" s="64">
        <f>CI$48/Assumptions!$B$36*(CI7=$D$4)</f>
        <v>0</v>
      </c>
      <c r="CJ54" s="64">
        <f>CJ$48/Assumptions!$B$36*(CJ7=$D$4)</f>
        <v>0</v>
      </c>
      <c r="CK54" s="64">
        <f>CK$48/Assumptions!$B$36*(CK7=$D$4)</f>
        <v>0</v>
      </c>
      <c r="CL54" s="64">
        <f>CL$48/Assumptions!$B$36*(CL7=$D$4)</f>
        <v>51382748.300782859</v>
      </c>
      <c r="CM54" s="173"/>
      <c r="CN54" s="173"/>
      <c r="CO54" s="173"/>
      <c r="CP54" s="173"/>
      <c r="CQ54" s="173"/>
      <c r="CR54" s="173"/>
      <c r="CS54" s="173"/>
      <c r="CT54" s="173"/>
      <c r="CU54" s="173"/>
      <c r="CV54" s="173"/>
      <c r="CW54" s="173"/>
      <c r="CX54" s="173"/>
    </row>
    <row r="55" spans="2:188" ht="12.6" customHeight="1" x14ac:dyDescent="0.2">
      <c r="B55" s="116" t="s">
        <v>115</v>
      </c>
      <c r="F55" s="64">
        <f>F54*Assumptions!$B$34</f>
        <v>0</v>
      </c>
      <c r="G55" s="64">
        <f>G54*Assumptions!$B$34</f>
        <v>0</v>
      </c>
      <c r="H55" s="64">
        <f>H54*Assumptions!$B$34</f>
        <v>0</v>
      </c>
      <c r="I55" s="64">
        <f>I54*Assumptions!$B$34</f>
        <v>0</v>
      </c>
      <c r="J55" s="64">
        <f>J54*Assumptions!$B$34</f>
        <v>0</v>
      </c>
      <c r="K55" s="64">
        <f>K54*Assumptions!$B$34</f>
        <v>0</v>
      </c>
      <c r="L55" s="64">
        <f>L54*Assumptions!$B$34</f>
        <v>0</v>
      </c>
      <c r="M55" s="64">
        <f>M54*Assumptions!$B$34</f>
        <v>0</v>
      </c>
      <c r="N55" s="64">
        <f>N54*Assumptions!$B$34</f>
        <v>0</v>
      </c>
      <c r="O55" s="64">
        <f>O54*Assumptions!$B$34</f>
        <v>0</v>
      </c>
      <c r="P55" s="64">
        <f>P54*Assumptions!$B$34</f>
        <v>0</v>
      </c>
      <c r="Q55" s="64">
        <f>Q54*Assumptions!$B$34</f>
        <v>0</v>
      </c>
      <c r="R55" s="64">
        <f>R54*Assumptions!$B$34</f>
        <v>0</v>
      </c>
      <c r="S55" s="64">
        <f>S54*Assumptions!$B$34</f>
        <v>0</v>
      </c>
      <c r="T55" s="64">
        <f>T54*Assumptions!$B$34</f>
        <v>0</v>
      </c>
      <c r="U55" s="64">
        <f>U54*Assumptions!$B$34</f>
        <v>0</v>
      </c>
      <c r="V55" s="64">
        <f>V54*Assumptions!$B$34</f>
        <v>0</v>
      </c>
      <c r="W55" s="64">
        <f>W54*Assumptions!$B$34</f>
        <v>0</v>
      </c>
      <c r="X55" s="64">
        <f>X54*Assumptions!$B$34</f>
        <v>0</v>
      </c>
      <c r="Y55" s="64">
        <f>Y54*Assumptions!$B$34</f>
        <v>0</v>
      </c>
      <c r="Z55" s="64">
        <f>Z54*Assumptions!$B$34</f>
        <v>0</v>
      </c>
      <c r="AA55" s="64">
        <f>AA54*Assumptions!$B$34</f>
        <v>0</v>
      </c>
      <c r="AB55" s="64">
        <f>AB54*Assumptions!$B$34</f>
        <v>0</v>
      </c>
      <c r="AC55" s="64">
        <f>AC54*Assumptions!$B$34</f>
        <v>0</v>
      </c>
      <c r="AD55" s="64">
        <f>AD54*Assumptions!$B$34</f>
        <v>0</v>
      </c>
      <c r="AE55" s="64">
        <f>AE54*Assumptions!$B$34</f>
        <v>0</v>
      </c>
      <c r="AF55" s="64">
        <f>AF54*Assumptions!$B$34</f>
        <v>0</v>
      </c>
      <c r="AG55" s="64">
        <f>AG54*Assumptions!$B$34</f>
        <v>0</v>
      </c>
      <c r="AH55" s="64">
        <f>AH54*Assumptions!$B$34</f>
        <v>0</v>
      </c>
      <c r="AI55" s="64">
        <f>AI54*Assumptions!$B$34</f>
        <v>0</v>
      </c>
      <c r="AJ55" s="64">
        <f>AJ54*Assumptions!$B$34</f>
        <v>0</v>
      </c>
      <c r="AK55" s="64">
        <f>AK54*Assumptions!$B$34</f>
        <v>0</v>
      </c>
      <c r="AL55" s="64">
        <f>AL54*Assumptions!$B$34</f>
        <v>0</v>
      </c>
      <c r="AM55" s="64">
        <f>AM54*Assumptions!$B$34</f>
        <v>0</v>
      </c>
      <c r="AN55" s="64">
        <f>AN54*Assumptions!$B$34</f>
        <v>0</v>
      </c>
      <c r="AO55" s="64">
        <f>AO54*Assumptions!$B$34</f>
        <v>0</v>
      </c>
      <c r="AP55" s="64">
        <f>AP54*Assumptions!$B$34</f>
        <v>0</v>
      </c>
      <c r="AQ55" s="64">
        <f>AQ54*Assumptions!$B$34</f>
        <v>0</v>
      </c>
      <c r="AR55" s="64">
        <f>AR54*Assumptions!$B$34</f>
        <v>0</v>
      </c>
      <c r="AS55" s="64">
        <f>AS54*Assumptions!$B$34</f>
        <v>0</v>
      </c>
      <c r="AT55" s="64">
        <f>AT54*Assumptions!$B$34</f>
        <v>0</v>
      </c>
      <c r="AU55" s="64">
        <f>AU54*Assumptions!$B$34</f>
        <v>0</v>
      </c>
      <c r="AV55" s="64">
        <f>AV54*Assumptions!$B$34</f>
        <v>0</v>
      </c>
      <c r="AW55" s="64">
        <f>AW54*Assumptions!$B$34</f>
        <v>0</v>
      </c>
      <c r="AX55" s="64">
        <f>AX54*Assumptions!$B$34</f>
        <v>0</v>
      </c>
      <c r="AY55" s="64">
        <f>AY54*Assumptions!$B$34</f>
        <v>0</v>
      </c>
      <c r="AZ55" s="64">
        <f>AZ54*Assumptions!$B$34</f>
        <v>0</v>
      </c>
      <c r="BA55" s="64">
        <f>BA54*Assumptions!$B$34</f>
        <v>0</v>
      </c>
      <c r="BB55" s="64">
        <f>BB54*Assumptions!$B$34</f>
        <v>0</v>
      </c>
      <c r="BC55" s="64">
        <f>BC54*Assumptions!$B$34</f>
        <v>0</v>
      </c>
      <c r="BD55" s="64">
        <f>BD54*Assumptions!$B$34</f>
        <v>0</v>
      </c>
      <c r="BE55" s="64">
        <f>BE54*Assumptions!$B$34</f>
        <v>0</v>
      </c>
      <c r="BF55" s="64">
        <f>BF54*Assumptions!$B$34</f>
        <v>0</v>
      </c>
      <c r="BG55" s="64">
        <f>BG54*Assumptions!$B$34</f>
        <v>0</v>
      </c>
      <c r="BH55" s="64">
        <f>BH54*Assumptions!$B$34</f>
        <v>0</v>
      </c>
      <c r="BI55" s="64">
        <f>BI54*Assumptions!$B$34</f>
        <v>0</v>
      </c>
      <c r="BJ55" s="64">
        <f>BJ54*Assumptions!$B$34</f>
        <v>0</v>
      </c>
      <c r="BK55" s="64">
        <f>BK54*Assumptions!$B$34</f>
        <v>0</v>
      </c>
      <c r="BL55" s="64">
        <f>BL54*Assumptions!$B$34</f>
        <v>0</v>
      </c>
      <c r="BM55" s="64">
        <f>BM54*Assumptions!$B$34</f>
        <v>0</v>
      </c>
      <c r="BN55" s="64">
        <f>BN54*Assumptions!$B$34</f>
        <v>0</v>
      </c>
      <c r="BO55" s="64">
        <f>BO54*Assumptions!$B$34</f>
        <v>0</v>
      </c>
      <c r="BP55" s="64">
        <f>BP54*Assumptions!$B$34</f>
        <v>0</v>
      </c>
      <c r="BQ55" s="64">
        <f>BQ54*Assumptions!$B$34</f>
        <v>0</v>
      </c>
      <c r="BR55" s="64">
        <f>BR54*Assumptions!$B$34</f>
        <v>0</v>
      </c>
      <c r="BS55" s="64">
        <f>BS54*Assumptions!$B$34</f>
        <v>0</v>
      </c>
      <c r="BT55" s="64">
        <f>BT54*Assumptions!$B$34</f>
        <v>0</v>
      </c>
      <c r="BU55" s="64">
        <f>BU54*Assumptions!$B$34</f>
        <v>0</v>
      </c>
      <c r="BV55" s="64">
        <f>BV54*Assumptions!$B$34</f>
        <v>0</v>
      </c>
      <c r="BW55" s="64">
        <f>BW54*Assumptions!$B$34</f>
        <v>0</v>
      </c>
      <c r="BX55" s="64">
        <f>BX54*Assumptions!$B$34</f>
        <v>0</v>
      </c>
      <c r="BY55" s="64">
        <f>BY54*Assumptions!$B$34</f>
        <v>0</v>
      </c>
      <c r="BZ55" s="64">
        <f>BZ54*Assumptions!$B$34</f>
        <v>0</v>
      </c>
      <c r="CA55" s="64">
        <f>CA54*Assumptions!$B$34</f>
        <v>0</v>
      </c>
      <c r="CB55" s="64">
        <f>CB54*Assumptions!$B$34</f>
        <v>0</v>
      </c>
      <c r="CC55" s="64">
        <f>CC54*Assumptions!$B$34</f>
        <v>0</v>
      </c>
      <c r="CD55" s="64">
        <f>CD54*Assumptions!$B$34</f>
        <v>0</v>
      </c>
      <c r="CE55" s="64">
        <f>CE54*Assumptions!$B$34</f>
        <v>0</v>
      </c>
      <c r="CF55" s="64">
        <f>CF54*Assumptions!$B$34</f>
        <v>0</v>
      </c>
      <c r="CG55" s="64">
        <f>CG54*Assumptions!$B$34</f>
        <v>0</v>
      </c>
      <c r="CH55" s="64">
        <f>CH54*Assumptions!$B$34</f>
        <v>0</v>
      </c>
      <c r="CI55" s="64">
        <f>CI54*Assumptions!$B$34</f>
        <v>0</v>
      </c>
      <c r="CJ55" s="64">
        <f>CJ54*Assumptions!$B$34</f>
        <v>0</v>
      </c>
      <c r="CK55" s="64">
        <f>CK54*Assumptions!$B$34</f>
        <v>0</v>
      </c>
      <c r="CL55" s="40">
        <f>-CL54*Assumptions!$B$34</f>
        <v>-1027654.9660156572</v>
      </c>
      <c r="CM55" s="173"/>
      <c r="CN55" s="173"/>
      <c r="CO55" s="173"/>
      <c r="CP55" s="173"/>
      <c r="CQ55" s="173"/>
      <c r="CR55" s="173"/>
      <c r="CS55" s="173"/>
      <c r="CT55" s="173"/>
      <c r="CU55" s="173"/>
      <c r="CV55" s="173"/>
      <c r="CW55" s="173"/>
      <c r="CX55" s="173"/>
    </row>
    <row r="56" spans="2:188" ht="12.6" customHeight="1" x14ac:dyDescent="0.2">
      <c r="B56" s="45" t="s">
        <v>144</v>
      </c>
      <c r="C56" s="45"/>
      <c r="D56" s="45"/>
      <c r="E56" s="45"/>
      <c r="F56" s="66">
        <f>SUM(F52:F55)</f>
        <v>-20400000</v>
      </c>
      <c r="G56" s="67">
        <f t="shared" ref="G56:BR56" si="57">SUM(G52:G55)</f>
        <v>0</v>
      </c>
      <c r="H56" s="67">
        <f t="shared" si="57"/>
        <v>0</v>
      </c>
      <c r="I56" s="67">
        <f t="shared" si="57"/>
        <v>0</v>
      </c>
      <c r="J56" s="67">
        <f t="shared" si="57"/>
        <v>0</v>
      </c>
      <c r="K56" s="67">
        <f t="shared" si="57"/>
        <v>0</v>
      </c>
      <c r="L56" s="67">
        <f t="shared" si="57"/>
        <v>0</v>
      </c>
      <c r="M56" s="67">
        <f t="shared" si="57"/>
        <v>0</v>
      </c>
      <c r="N56" s="67">
        <f t="shared" si="57"/>
        <v>0</v>
      </c>
      <c r="O56" s="67">
        <f t="shared" si="57"/>
        <v>0</v>
      </c>
      <c r="P56" s="67">
        <f t="shared" si="57"/>
        <v>0</v>
      </c>
      <c r="Q56" s="67">
        <f t="shared" si="57"/>
        <v>0</v>
      </c>
      <c r="R56" s="67">
        <f t="shared" si="57"/>
        <v>0</v>
      </c>
      <c r="S56" s="67">
        <f t="shared" si="57"/>
        <v>0</v>
      </c>
      <c r="T56" s="67">
        <f t="shared" si="57"/>
        <v>0</v>
      </c>
      <c r="U56" s="67">
        <f t="shared" si="57"/>
        <v>0</v>
      </c>
      <c r="V56" s="67">
        <f t="shared" si="57"/>
        <v>0</v>
      </c>
      <c r="W56" s="67">
        <f t="shared" si="57"/>
        <v>0</v>
      </c>
      <c r="X56" s="67">
        <f t="shared" si="57"/>
        <v>0</v>
      </c>
      <c r="Y56" s="67">
        <f t="shared" si="57"/>
        <v>0</v>
      </c>
      <c r="Z56" s="67">
        <f t="shared" si="57"/>
        <v>0</v>
      </c>
      <c r="AA56" s="67">
        <f t="shared" si="57"/>
        <v>0</v>
      </c>
      <c r="AB56" s="67">
        <f t="shared" si="57"/>
        <v>0</v>
      </c>
      <c r="AC56" s="67">
        <f t="shared" si="57"/>
        <v>0</v>
      </c>
      <c r="AD56" s="67">
        <f t="shared" si="57"/>
        <v>0</v>
      </c>
      <c r="AE56" s="67">
        <f t="shared" si="57"/>
        <v>0</v>
      </c>
      <c r="AF56" s="67">
        <f t="shared" si="57"/>
        <v>0</v>
      </c>
      <c r="AG56" s="67">
        <f t="shared" si="57"/>
        <v>0</v>
      </c>
      <c r="AH56" s="67">
        <f t="shared" si="57"/>
        <v>0</v>
      </c>
      <c r="AI56" s="67">
        <f t="shared" si="57"/>
        <v>0</v>
      </c>
      <c r="AJ56" s="67">
        <f t="shared" si="57"/>
        <v>0</v>
      </c>
      <c r="AK56" s="67">
        <f t="shared" si="57"/>
        <v>0</v>
      </c>
      <c r="AL56" s="67">
        <f t="shared" si="57"/>
        <v>0</v>
      </c>
      <c r="AM56" s="67">
        <f t="shared" si="57"/>
        <v>0</v>
      </c>
      <c r="AN56" s="67">
        <f t="shared" si="57"/>
        <v>0</v>
      </c>
      <c r="AO56" s="67">
        <f t="shared" si="57"/>
        <v>0</v>
      </c>
      <c r="AP56" s="67">
        <f t="shared" si="57"/>
        <v>0</v>
      </c>
      <c r="AQ56" s="67">
        <f t="shared" si="57"/>
        <v>0</v>
      </c>
      <c r="AR56" s="67">
        <f t="shared" si="57"/>
        <v>0</v>
      </c>
      <c r="AS56" s="67">
        <f t="shared" si="57"/>
        <v>0</v>
      </c>
      <c r="AT56" s="67">
        <f t="shared" si="57"/>
        <v>0</v>
      </c>
      <c r="AU56" s="67">
        <f t="shared" si="57"/>
        <v>0</v>
      </c>
      <c r="AV56" s="67">
        <f t="shared" si="57"/>
        <v>0</v>
      </c>
      <c r="AW56" s="67">
        <f t="shared" si="57"/>
        <v>0</v>
      </c>
      <c r="AX56" s="67">
        <f t="shared" si="57"/>
        <v>0</v>
      </c>
      <c r="AY56" s="67">
        <f t="shared" si="57"/>
        <v>0</v>
      </c>
      <c r="AZ56" s="67">
        <f t="shared" si="57"/>
        <v>0</v>
      </c>
      <c r="BA56" s="67">
        <f t="shared" si="57"/>
        <v>0</v>
      </c>
      <c r="BB56" s="67">
        <f t="shared" si="57"/>
        <v>0</v>
      </c>
      <c r="BC56" s="67">
        <f t="shared" si="57"/>
        <v>0</v>
      </c>
      <c r="BD56" s="67">
        <f t="shared" si="57"/>
        <v>0</v>
      </c>
      <c r="BE56" s="67">
        <f t="shared" si="57"/>
        <v>0</v>
      </c>
      <c r="BF56" s="67">
        <f t="shared" si="57"/>
        <v>0</v>
      </c>
      <c r="BG56" s="67">
        <f t="shared" si="57"/>
        <v>0</v>
      </c>
      <c r="BH56" s="67">
        <f t="shared" si="57"/>
        <v>0</v>
      </c>
      <c r="BI56" s="67">
        <f t="shared" si="57"/>
        <v>0</v>
      </c>
      <c r="BJ56" s="67">
        <f t="shared" si="57"/>
        <v>0</v>
      </c>
      <c r="BK56" s="67">
        <f t="shared" si="57"/>
        <v>0</v>
      </c>
      <c r="BL56" s="67">
        <f t="shared" si="57"/>
        <v>0</v>
      </c>
      <c r="BM56" s="67">
        <f t="shared" si="57"/>
        <v>0</v>
      </c>
      <c r="BN56" s="67">
        <f t="shared" si="57"/>
        <v>0</v>
      </c>
      <c r="BO56" s="67">
        <f t="shared" si="57"/>
        <v>0</v>
      </c>
      <c r="BP56" s="67">
        <f t="shared" si="57"/>
        <v>0</v>
      </c>
      <c r="BQ56" s="67">
        <f t="shared" si="57"/>
        <v>0</v>
      </c>
      <c r="BR56" s="67">
        <f t="shared" si="57"/>
        <v>0</v>
      </c>
      <c r="BS56" s="67">
        <f t="shared" ref="BS56:CL56" si="58">SUM(BS52:BS55)</f>
        <v>0</v>
      </c>
      <c r="BT56" s="67">
        <f t="shared" si="58"/>
        <v>0</v>
      </c>
      <c r="BU56" s="67">
        <f t="shared" si="58"/>
        <v>0</v>
      </c>
      <c r="BV56" s="67">
        <f t="shared" si="58"/>
        <v>0</v>
      </c>
      <c r="BW56" s="67">
        <f t="shared" si="58"/>
        <v>0</v>
      </c>
      <c r="BX56" s="67">
        <f t="shared" si="58"/>
        <v>0</v>
      </c>
      <c r="BY56" s="67">
        <f t="shared" si="58"/>
        <v>0</v>
      </c>
      <c r="BZ56" s="67">
        <f t="shared" si="58"/>
        <v>0</v>
      </c>
      <c r="CA56" s="67">
        <f t="shared" si="58"/>
        <v>0</v>
      </c>
      <c r="CB56" s="67">
        <f t="shared" si="58"/>
        <v>0</v>
      </c>
      <c r="CC56" s="67">
        <f t="shared" si="58"/>
        <v>0</v>
      </c>
      <c r="CD56" s="67">
        <f t="shared" si="58"/>
        <v>0</v>
      </c>
      <c r="CE56" s="67">
        <f t="shared" si="58"/>
        <v>0</v>
      </c>
      <c r="CF56" s="67">
        <f t="shared" si="58"/>
        <v>0</v>
      </c>
      <c r="CG56" s="67">
        <f t="shared" si="58"/>
        <v>0</v>
      </c>
      <c r="CH56" s="67">
        <f t="shared" si="58"/>
        <v>0</v>
      </c>
      <c r="CI56" s="67">
        <f t="shared" si="58"/>
        <v>0</v>
      </c>
      <c r="CJ56" s="67">
        <f t="shared" si="58"/>
        <v>0</v>
      </c>
      <c r="CK56" s="67">
        <f t="shared" si="58"/>
        <v>0</v>
      </c>
      <c r="CL56" s="66">
        <f t="shared" si="58"/>
        <v>50355093.3347672</v>
      </c>
    </row>
    <row r="58" spans="2:188" ht="12.6" customHeight="1" x14ac:dyDescent="0.2">
      <c r="B58" s="65" t="s">
        <v>116</v>
      </c>
      <c r="C58" s="62"/>
      <c r="D58" s="62"/>
      <c r="E58" s="42"/>
      <c r="F58" s="66">
        <f>F56+F46</f>
        <v>-20400000</v>
      </c>
      <c r="G58" s="66">
        <f>G56+G46</f>
        <v>52912.821666666656</v>
      </c>
      <c r="H58" s="66">
        <f t="shared" ref="H58:BR58" si="59">H56+H46</f>
        <v>102912.82166666666</v>
      </c>
      <c r="I58" s="66">
        <f t="shared" si="59"/>
        <v>102912.82166666666</v>
      </c>
      <c r="J58" s="66">
        <f t="shared" si="59"/>
        <v>102912.82166666666</v>
      </c>
      <c r="K58" s="66">
        <f t="shared" si="59"/>
        <v>102912.82166666666</v>
      </c>
      <c r="L58" s="66">
        <f t="shared" si="59"/>
        <v>102912.82166666666</v>
      </c>
      <c r="M58" s="66">
        <f t="shared" si="59"/>
        <v>102912.82166666666</v>
      </c>
      <c r="N58" s="66">
        <f t="shared" si="59"/>
        <v>102912.82166666666</v>
      </c>
      <c r="O58" s="66">
        <f t="shared" si="59"/>
        <v>102912.82166666666</v>
      </c>
      <c r="P58" s="66">
        <f t="shared" si="59"/>
        <v>102912.82166666666</v>
      </c>
      <c r="Q58" s="66">
        <f t="shared" si="59"/>
        <v>102912.82166666666</v>
      </c>
      <c r="R58" s="66">
        <f t="shared" si="59"/>
        <v>102912.82166666666</v>
      </c>
      <c r="S58" s="66">
        <f t="shared" si="59"/>
        <v>143647.62037916668</v>
      </c>
      <c r="T58" s="66">
        <f t="shared" si="59"/>
        <v>143647.62037916668</v>
      </c>
      <c r="U58" s="66">
        <f t="shared" si="59"/>
        <v>143647.62037916668</v>
      </c>
      <c r="V58" s="66">
        <f t="shared" si="59"/>
        <v>143647.62037916668</v>
      </c>
      <c r="W58" s="66">
        <f t="shared" si="59"/>
        <v>143647.62037916668</v>
      </c>
      <c r="X58" s="66">
        <f t="shared" si="59"/>
        <v>143647.62037916668</v>
      </c>
      <c r="Y58" s="66">
        <f t="shared" si="59"/>
        <v>143647.62037916668</v>
      </c>
      <c r="Z58" s="66">
        <f t="shared" si="59"/>
        <v>143647.62037916668</v>
      </c>
      <c r="AA58" s="66">
        <f t="shared" si="59"/>
        <v>143647.62037916668</v>
      </c>
      <c r="AB58" s="66">
        <f t="shared" si="59"/>
        <v>143647.62037916668</v>
      </c>
      <c r="AC58" s="66">
        <f t="shared" si="59"/>
        <v>143647.62037916668</v>
      </c>
      <c r="AD58" s="66">
        <f t="shared" si="59"/>
        <v>143647.62037916668</v>
      </c>
      <c r="AE58" s="66">
        <f t="shared" si="59"/>
        <v>196817.86578741667</v>
      </c>
      <c r="AF58" s="66">
        <f t="shared" si="59"/>
        <v>196817.86578741667</v>
      </c>
      <c r="AG58" s="66">
        <f t="shared" si="59"/>
        <v>196817.86578741667</v>
      </c>
      <c r="AH58" s="66">
        <f t="shared" si="59"/>
        <v>196817.86578741667</v>
      </c>
      <c r="AI58" s="66">
        <f t="shared" si="59"/>
        <v>196817.86578741667</v>
      </c>
      <c r="AJ58" s="66">
        <f t="shared" si="59"/>
        <v>196817.86578741667</v>
      </c>
      <c r="AK58" s="66">
        <f t="shared" si="59"/>
        <v>196817.86578741667</v>
      </c>
      <c r="AL58" s="66">
        <f t="shared" si="59"/>
        <v>196817.86578741667</v>
      </c>
      <c r="AM58" s="66">
        <f t="shared" si="59"/>
        <v>196817.86578741667</v>
      </c>
      <c r="AN58" s="66">
        <f t="shared" si="59"/>
        <v>196817.86578741667</v>
      </c>
      <c r="AO58" s="66">
        <f t="shared" si="59"/>
        <v>196817.86578741667</v>
      </c>
      <c r="AP58" s="66">
        <f t="shared" si="59"/>
        <v>196817.86578741667</v>
      </c>
      <c r="AQ58" s="66">
        <f t="shared" si="59"/>
        <v>209040.2270891642</v>
      </c>
      <c r="AR58" s="66">
        <f t="shared" si="59"/>
        <v>209040.2270891642</v>
      </c>
      <c r="AS58" s="66">
        <f t="shared" si="59"/>
        <v>209040.2270891642</v>
      </c>
      <c r="AT58" s="66">
        <f t="shared" si="59"/>
        <v>209040.2270891642</v>
      </c>
      <c r="AU58" s="66">
        <f t="shared" si="59"/>
        <v>209040.2270891642</v>
      </c>
      <c r="AV58" s="66">
        <f t="shared" si="59"/>
        <v>209040.2270891642</v>
      </c>
      <c r="AW58" s="66">
        <f t="shared" si="59"/>
        <v>209040.2270891642</v>
      </c>
      <c r="AX58" s="66">
        <f t="shared" si="59"/>
        <v>209040.2270891642</v>
      </c>
      <c r="AY58" s="66">
        <f t="shared" si="59"/>
        <v>209040.2270891642</v>
      </c>
      <c r="AZ58" s="66">
        <f t="shared" si="59"/>
        <v>209040.2270891642</v>
      </c>
      <c r="BA58" s="66">
        <f t="shared" si="59"/>
        <v>209040.2270891642</v>
      </c>
      <c r="BB58" s="66">
        <f t="shared" si="59"/>
        <v>209040.2270891642</v>
      </c>
      <c r="BC58" s="66">
        <f t="shared" si="59"/>
        <v>215367.43390183902</v>
      </c>
      <c r="BD58" s="66">
        <f t="shared" si="59"/>
        <v>215367.43390183902</v>
      </c>
      <c r="BE58" s="66">
        <f t="shared" si="59"/>
        <v>215367.43390183902</v>
      </c>
      <c r="BF58" s="66">
        <f t="shared" si="59"/>
        <v>215367.43390183902</v>
      </c>
      <c r="BG58" s="66">
        <f t="shared" si="59"/>
        <v>215367.43390183902</v>
      </c>
      <c r="BH58" s="66">
        <f t="shared" si="59"/>
        <v>215367.43390183902</v>
      </c>
      <c r="BI58" s="66">
        <f t="shared" si="59"/>
        <v>215367.43390183902</v>
      </c>
      <c r="BJ58" s="66">
        <f t="shared" si="59"/>
        <v>215367.43390183902</v>
      </c>
      <c r="BK58" s="66">
        <f t="shared" si="59"/>
        <v>215367.43390183902</v>
      </c>
      <c r="BL58" s="66">
        <f t="shared" si="59"/>
        <v>215367.43390183902</v>
      </c>
      <c r="BM58" s="66">
        <f t="shared" si="59"/>
        <v>215367.43390183902</v>
      </c>
      <c r="BN58" s="66">
        <f t="shared" si="59"/>
        <v>215367.43390183902</v>
      </c>
      <c r="BO58" s="66">
        <f t="shared" si="59"/>
        <v>221887.45691889428</v>
      </c>
      <c r="BP58" s="66">
        <f t="shared" si="59"/>
        <v>221887.45691889428</v>
      </c>
      <c r="BQ58" s="66">
        <f t="shared" si="59"/>
        <v>221887.45691889428</v>
      </c>
      <c r="BR58" s="66">
        <f t="shared" si="59"/>
        <v>221887.45691889428</v>
      </c>
      <c r="BS58" s="66">
        <f t="shared" ref="BS58:CK58" si="60">BS56+BS46</f>
        <v>221887.45691889428</v>
      </c>
      <c r="BT58" s="66">
        <f t="shared" si="60"/>
        <v>221887.45691889428</v>
      </c>
      <c r="BU58" s="66">
        <f t="shared" si="60"/>
        <v>221887.45691889428</v>
      </c>
      <c r="BV58" s="66">
        <f t="shared" si="60"/>
        <v>221887.45691889428</v>
      </c>
      <c r="BW58" s="66">
        <f t="shared" si="60"/>
        <v>221887.45691889428</v>
      </c>
      <c r="BX58" s="66">
        <f t="shared" si="60"/>
        <v>221887.45691889428</v>
      </c>
      <c r="BY58" s="66">
        <f t="shared" si="60"/>
        <v>221887.45691889428</v>
      </c>
      <c r="BZ58" s="66">
        <f t="shared" si="60"/>
        <v>221887.45691889428</v>
      </c>
      <c r="CA58" s="66">
        <f t="shared" si="60"/>
        <v>228581.0806264611</v>
      </c>
      <c r="CB58" s="66">
        <f t="shared" si="60"/>
        <v>228581.0806264611</v>
      </c>
      <c r="CC58" s="66">
        <f t="shared" si="60"/>
        <v>228581.0806264611</v>
      </c>
      <c r="CD58" s="66">
        <f t="shared" si="60"/>
        <v>228581.0806264611</v>
      </c>
      <c r="CE58" s="66">
        <f t="shared" si="60"/>
        <v>228581.0806264611</v>
      </c>
      <c r="CF58" s="66">
        <f t="shared" si="60"/>
        <v>228581.0806264611</v>
      </c>
      <c r="CG58" s="66">
        <f t="shared" si="60"/>
        <v>228581.0806264611</v>
      </c>
      <c r="CH58" s="66">
        <f t="shared" si="60"/>
        <v>228581.0806264611</v>
      </c>
      <c r="CI58" s="66">
        <f t="shared" si="60"/>
        <v>228581.0806264611</v>
      </c>
      <c r="CJ58" s="66">
        <f t="shared" si="60"/>
        <v>228581.0806264611</v>
      </c>
      <c r="CK58" s="66">
        <f t="shared" si="60"/>
        <v>228581.0806264611</v>
      </c>
      <c r="CL58" s="66">
        <f>CL56+CL46</f>
        <v>50583674.415393658</v>
      </c>
    </row>
    <row r="60" spans="2:188" ht="12.6" customHeight="1" x14ac:dyDescent="0.2">
      <c r="B60" s="69" t="s">
        <v>117</v>
      </c>
      <c r="C60" s="42"/>
      <c r="D60" s="70">
        <f>XIRR(F58:CL58,F7:CL7)</f>
        <v>0.21785162091255186</v>
      </c>
      <c r="F60" s="68"/>
    </row>
    <row r="61" spans="2:188" ht="12.6" customHeight="1" x14ac:dyDescent="0.2">
      <c r="B61" s="71" t="s">
        <v>118</v>
      </c>
      <c r="D61" s="72">
        <f>SUM(F58:CL58)</f>
        <v>45724147.411202461</v>
      </c>
    </row>
    <row r="62" spans="2:188" ht="12.6" customHeight="1" x14ac:dyDescent="0.2">
      <c r="B62" s="73" t="s">
        <v>128</v>
      </c>
      <c r="C62" s="74"/>
      <c r="D62" s="75">
        <f>SUMIF(F58:CL58,"&gt;"&amp;0) / -SUMIF(F58:CL58,"&lt;"&amp;0)</f>
        <v>3.2413797750589457</v>
      </c>
    </row>
    <row r="63" spans="2:188" ht="12.6" customHeight="1" x14ac:dyDescent="0.2">
      <c r="B63" s="35"/>
      <c r="D63" s="90"/>
    </row>
    <row r="64" spans="2:188" ht="12.6" customHeight="1" x14ac:dyDescent="0.2">
      <c r="B64" s="93" t="s">
        <v>119</v>
      </c>
      <c r="C64" s="62"/>
      <c r="D64" s="94"/>
    </row>
    <row r="65" spans="2:102" ht="12.6" customHeight="1" x14ac:dyDescent="0.2">
      <c r="B65" s="95" t="s">
        <v>112</v>
      </c>
      <c r="D65" s="96">
        <f>Assumptions!B32</f>
        <v>20000000</v>
      </c>
    </row>
    <row r="66" spans="2:102" ht="12.6" customHeight="1" x14ac:dyDescent="0.2">
      <c r="B66" s="95" t="s">
        <v>139</v>
      </c>
      <c r="D66" s="96">
        <f>D65*Assumptions!H17</f>
        <v>12000000</v>
      </c>
      <c r="E66" s="91"/>
    </row>
    <row r="67" spans="2:102" ht="12.6" customHeight="1" x14ac:dyDescent="0.2">
      <c r="B67" s="95" t="s">
        <v>59</v>
      </c>
      <c r="D67" s="97">
        <f>Assumptions!H18</f>
        <v>6.5000000000000002E-2</v>
      </c>
    </row>
    <row r="68" spans="2:102" ht="12.6" customHeight="1" x14ac:dyDescent="0.2">
      <c r="B68" s="98" t="s">
        <v>26</v>
      </c>
      <c r="C68" s="92"/>
      <c r="D68" s="99">
        <v>30</v>
      </c>
    </row>
    <row r="69" spans="2:102" ht="12.6" customHeight="1" x14ac:dyDescent="0.2">
      <c r="B69" s="100" t="s">
        <v>140</v>
      </c>
      <c r="C69" s="74"/>
      <c r="D69" s="101">
        <f>PMT(D67/12,D68*12,D66)*-1</f>
        <v>75848.162819155652</v>
      </c>
    </row>
    <row r="70" spans="2:102" ht="12.6" customHeight="1" x14ac:dyDescent="0.2">
      <c r="B70" s="35"/>
      <c r="D70" s="90"/>
    </row>
    <row r="71" spans="2:102" ht="12.6" customHeight="1" x14ac:dyDescent="0.2">
      <c r="B71" s="116" t="s">
        <v>120</v>
      </c>
      <c r="G71" s="40">
        <f>-G73*Assumptions!$H$18/12</f>
        <v>-65000</v>
      </c>
      <c r="H71" s="40">
        <f>-H73*Assumptions!$H$18/12</f>
        <v>-65000</v>
      </c>
      <c r="I71" s="40">
        <f>-I73*Assumptions!$H$18/12</f>
        <v>-65000</v>
      </c>
      <c r="J71" s="40">
        <f>-J73*Assumptions!$H$18/12</f>
        <v>-65000</v>
      </c>
      <c r="K71" s="40">
        <f>-K73*Assumptions!$H$18/12</f>
        <v>-65000</v>
      </c>
      <c r="L71" s="40">
        <f>-L73*Assumptions!$H$18/12</f>
        <v>-65000</v>
      </c>
      <c r="M71" s="40">
        <f>-M73*Assumptions!$H$18/12</f>
        <v>-65000</v>
      </c>
      <c r="N71" s="40">
        <f>-N73*Assumptions!$H$18/12</f>
        <v>-65000</v>
      </c>
      <c r="O71" s="40">
        <f>-O73*Assumptions!$H$18/12</f>
        <v>-65000</v>
      </c>
      <c r="P71" s="40">
        <f>-P73*Assumptions!$H$18/12</f>
        <v>-65000</v>
      </c>
      <c r="Q71" s="40">
        <f>-Q73*Assumptions!$H$18/12</f>
        <v>-65000</v>
      </c>
      <c r="R71" s="40">
        <f>-R73*Assumptions!$H$18/12</f>
        <v>-65000</v>
      </c>
      <c r="S71" s="40">
        <f>-S73*Assumptions!$H$18/12</f>
        <v>-65000</v>
      </c>
      <c r="T71" s="40">
        <f>-T73*Assumptions!$H$18/12</f>
        <v>-65000</v>
      </c>
      <c r="U71" s="40">
        <f>-U73*Assumptions!$H$18/12</f>
        <v>-65000</v>
      </c>
      <c r="V71" s="40">
        <f>-V73*Assumptions!$H$18/12</f>
        <v>-65000</v>
      </c>
      <c r="W71" s="40">
        <f>-W73*Assumptions!$H$18/12</f>
        <v>-65000</v>
      </c>
      <c r="X71" s="40">
        <f>-X73*Assumptions!$H$18/12</f>
        <v>-65000</v>
      </c>
      <c r="Y71" s="40">
        <f>-Y73*Assumptions!$H$18/12</f>
        <v>-65000</v>
      </c>
      <c r="Z71" s="40">
        <f>-Z73*Assumptions!$H$18/12</f>
        <v>-65000</v>
      </c>
      <c r="AA71" s="40">
        <f>-AA73*Assumptions!$H$18/12</f>
        <v>-65000</v>
      </c>
      <c r="AB71" s="40">
        <f>-AB73*Assumptions!$H$18/12</f>
        <v>-65000</v>
      </c>
      <c r="AC71" s="40">
        <f>-AC73*Assumptions!$H$18/12</f>
        <v>-65000</v>
      </c>
      <c r="AD71" s="40">
        <f>-AD73*Assumptions!$H$18/12</f>
        <v>-65000</v>
      </c>
      <c r="AE71" s="40">
        <f>-AE73*Assumptions!$H$18/12</f>
        <v>-65000</v>
      </c>
      <c r="AF71" s="40">
        <f>-AF73*Assumptions!$H$18/12</f>
        <v>-64941.239118062898</v>
      </c>
      <c r="AG71" s="40">
        <f>-AG73*Assumptions!$H$18/12</f>
        <v>-64882.159948015324</v>
      </c>
      <c r="AH71" s="40">
        <f>-AH73*Assumptions!$H$18/12</f>
        <v>-64822.760765796644</v>
      </c>
      <c r="AI71" s="40">
        <f>-AI73*Assumptions!$H$18/12</f>
        <v>-64763.039838007615</v>
      </c>
      <c r="AJ71" s="40">
        <f>-AJ73*Assumptions!$H$18/12</f>
        <v>-64702.995421859727</v>
      </c>
      <c r="AK71" s="40">
        <f>-AK73*Assumptions!$H$18/12</f>
        <v>-64642.625765124372</v>
      </c>
      <c r="AL71" s="40">
        <f>-AL73*Assumptions!$H$18/12</f>
        <v>-64581.929106081698</v>
      </c>
      <c r="AM71" s="40">
        <f>-AM73*Assumptions!$H$18/12</f>
        <v>-64520.903673469213</v>
      </c>
      <c r="AN71" s="40">
        <f>-AN73*Assumptions!$H$18/12</f>
        <v>-64459.54768643008</v>
      </c>
      <c r="AO71" s="40">
        <f>-AO73*Assumptions!$H$18/12</f>
        <v>-64397.859354461158</v>
      </c>
      <c r="AP71" s="40">
        <f>-AP73*Assumptions!$H$18/12</f>
        <v>-64335.836877360729</v>
      </c>
      <c r="AQ71" s="40">
        <f>-AQ73*Assumptions!$H$18/12</f>
        <v>-64273.478445176006</v>
      </c>
      <c r="AR71" s="40">
        <f>-AR73*Assumptions!$H$18/12</f>
        <v>-64210.782238150277</v>
      </c>
      <c r="AS71" s="40">
        <f>-AS73*Assumptions!$H$18/12</f>
        <v>-64147.74642666983</v>
      </c>
      <c r="AT71" s="40">
        <f>-AT73*Assumptions!$H$18/12</f>
        <v>-64084.369171210536</v>
      </c>
      <c r="AU71" s="40">
        <f>-AU73*Assumptions!$H$18/12</f>
        <v>-64020.648622284156</v>
      </c>
      <c r="AV71" s="40">
        <f>-AV73*Assumptions!$H$18/12</f>
        <v>-63956.582920384448</v>
      </c>
      <c r="AW71" s="40">
        <f>-AW73*Assumptions!$H$18/12</f>
        <v>-63892.170195932769</v>
      </c>
      <c r="AX71" s="40">
        <f>-AX73*Assumptions!$H$18/12</f>
        <v>-63827.408569223648</v>
      </c>
      <c r="AY71" s="40">
        <f>-AY73*Assumptions!$H$18/12</f>
        <v>-63762.296150369839</v>
      </c>
      <c r="AZ71" s="40">
        <f>-AZ73*Assumptions!$H$18/12</f>
        <v>-63696.831039247256</v>
      </c>
      <c r="BA71" s="40">
        <f>-BA73*Assumptions!$H$18/12</f>
        <v>-63631.011325439416</v>
      </c>
      <c r="BB71" s="40">
        <f>-BB73*Assumptions!$H$18/12</f>
        <v>-63564.835088181797</v>
      </c>
      <c r="BC71" s="40">
        <f>-BC73*Assumptions!$H$18/12</f>
        <v>-63498.300396305684</v>
      </c>
      <c r="BD71" s="40">
        <f>-BD73*Assumptions!$H$18/12</f>
        <v>-63431.405308181907</v>
      </c>
      <c r="BE71" s="40">
        <f>-BE73*Assumptions!$H$18/12</f>
        <v>-63364.147871664136</v>
      </c>
      <c r="BF71" s="40">
        <f>-BF73*Assumptions!$H$18/12</f>
        <v>-63296.526124031894</v>
      </c>
      <c r="BG71" s="40">
        <f>-BG73*Assumptions!$H$18/12</f>
        <v>-63228.538091933304</v>
      </c>
      <c r="BH71" s="40">
        <f>-BH73*Assumptions!$H$18/12</f>
        <v>-63160.181791327515</v>
      </c>
      <c r="BI71" s="40">
        <f>-BI73*Assumptions!$H$18/12</f>
        <v>-63091.455227426777</v>
      </c>
      <c r="BJ71" s="40">
        <f>-BJ73*Assumptions!$H$18/12</f>
        <v>-63022.356394638242</v>
      </c>
      <c r="BK71" s="40">
        <f>-BK73*Assumptions!$H$18/12</f>
        <v>-62952.883276505447</v>
      </c>
      <c r="BL71" s="40">
        <f>-BL73*Assumptions!$H$18/12</f>
        <v>-62883.033845649414</v>
      </c>
      <c r="BM71" s="40">
        <f>-BM73*Assumptions!$H$18/12</f>
        <v>-62812.806063709584</v>
      </c>
      <c r="BN71" s="40">
        <f>-BN73*Assumptions!$H$18/12</f>
        <v>-62742.197881284257</v>
      </c>
      <c r="BO71" s="40">
        <f>-BO73*Assumptions!$H$18/12</f>
        <v>-62671.207237870782</v>
      </c>
      <c r="BP71" s="40">
        <f>-BP73*Assumptions!$H$18/12</f>
        <v>-62599.832061805493</v>
      </c>
      <c r="BQ71" s="40">
        <f>-BQ73*Assumptions!$H$18/12</f>
        <v>-62528.070270203178</v>
      </c>
      <c r="BR71" s="40">
        <f>-BR73*Assumptions!$H$18/12</f>
        <v>-62455.919768896354</v>
      </c>
      <c r="BS71" s="40">
        <f>-BS73*Assumptions!$H$18/12</f>
        <v>-62383.378452374112</v>
      </c>
      <c r="BT71" s="40">
        <f>-BT73*Assumptions!$H$18/12</f>
        <v>-62310.444203720719</v>
      </c>
      <c r="BU71" s="40">
        <f>-BU73*Assumptions!$H$18/12</f>
        <v>-62237.114894553779</v>
      </c>
      <c r="BV71" s="40">
        <f>-BV73*Assumptions!$H$18/12</f>
        <v>-62163.388384962185</v>
      </c>
      <c r="BW71" s="40">
        <f>-BW73*Assumptions!$H$18/12</f>
        <v>-62089.262523443635</v>
      </c>
      <c r="BX71" s="40">
        <f>-BX73*Assumptions!$H$18/12</f>
        <v>-62014.735146841856</v>
      </c>
      <c r="BY71" s="40">
        <f>-BY73*Assumptions!$H$18/12</f>
        <v>-61939.804080283495</v>
      </c>
      <c r="BZ71" s="40">
        <f>-BZ73*Assumptions!$H$18/12</f>
        <v>-61864.467137114603</v>
      </c>
      <c r="CA71" s="40">
        <f>-CA73*Assumptions!$H$18/12</f>
        <v>-61788.722118836886</v>
      </c>
      <c r="CB71" s="40">
        <f>-CB73*Assumptions!$H$18/12</f>
        <v>-61712.566815043487</v>
      </c>
      <c r="CC71" s="40">
        <f>-CC73*Assumptions!$H$18/12</f>
        <v>-61635.999003354547</v>
      </c>
      <c r="CD71" s="40">
        <f>-CD73*Assumptions!$H$18/12</f>
        <v>-61559.01644935229</v>
      </c>
      <c r="CE71" s="40">
        <f>-CE73*Assumptions!$H$18/12</f>
        <v>-61481.616906515854</v>
      </c>
      <c r="CF71" s="40">
        <f>-CF73*Assumptions!$H$18/12</f>
        <v>-61403.798116155718</v>
      </c>
      <c r="CG71" s="40">
        <f>-CG73*Assumptions!$H$18/12</f>
        <v>-61325.557807347803</v>
      </c>
      <c r="CH71" s="40">
        <f>-CH73*Assumptions!$H$18/12</f>
        <v>-61246.893696867184</v>
      </c>
      <c r="CI71" s="40">
        <f>-CI73*Assumptions!$H$18/12</f>
        <v>-61167.803489121456</v>
      </c>
      <c r="CJ71" s="40">
        <f>-CJ73*Assumptions!$H$18/12</f>
        <v>-61088.284876083773</v>
      </c>
      <c r="CK71" s="40">
        <f>-CK73*Assumptions!$H$18/12</f>
        <v>-61008.335537225466</v>
      </c>
      <c r="CL71" s="40">
        <f>-CL73*Assumptions!$H$18/12</f>
        <v>-60927.953139448342</v>
      </c>
    </row>
    <row r="72" spans="2:102" ht="12.6" customHeight="1" x14ac:dyDescent="0.2">
      <c r="B72" s="116" t="s">
        <v>29</v>
      </c>
      <c r="F72" s="40">
        <f>-F74*Assumptions!$H$21</f>
        <v>-120000</v>
      </c>
      <c r="G72" s="64">
        <f>-G74*Assumptions!$I$21</f>
        <v>0</v>
      </c>
      <c r="H72" s="64">
        <f>-H74*Assumptions!$I$21</f>
        <v>0</v>
      </c>
      <c r="I72" s="64">
        <f>-I74*Assumptions!$I$21</f>
        <v>0</v>
      </c>
      <c r="J72" s="64">
        <f>-J74*Assumptions!$I$21</f>
        <v>0</v>
      </c>
      <c r="K72" s="64">
        <f>-K74*Assumptions!$I$21</f>
        <v>0</v>
      </c>
      <c r="L72" s="64">
        <f>-L74*Assumptions!$I$21</f>
        <v>0</v>
      </c>
      <c r="M72" s="64">
        <f>-M74*Assumptions!$I$21</f>
        <v>0</v>
      </c>
      <c r="N72" s="64">
        <f>-N74*Assumptions!$I$21</f>
        <v>0</v>
      </c>
      <c r="O72" s="64">
        <f>-O74*Assumptions!$I$21</f>
        <v>0</v>
      </c>
      <c r="P72" s="64">
        <f>-P74*Assumptions!$I$21</f>
        <v>0</v>
      </c>
      <c r="Q72" s="64">
        <f>-Q74*Assumptions!$I$21</f>
        <v>0</v>
      </c>
      <c r="R72" s="64">
        <f>-R74*Assumptions!$I$21</f>
        <v>0</v>
      </c>
      <c r="S72" s="64">
        <f>-S74*Assumptions!$I$21</f>
        <v>0</v>
      </c>
      <c r="T72" s="64">
        <f>-T74*Assumptions!$I$21</f>
        <v>0</v>
      </c>
      <c r="U72" s="64">
        <f>-U74*Assumptions!$I$21</f>
        <v>0</v>
      </c>
      <c r="V72" s="64">
        <f>-V74*Assumptions!$I$21</f>
        <v>0</v>
      </c>
      <c r="W72" s="64">
        <f>-W74*Assumptions!$I$21</f>
        <v>0</v>
      </c>
      <c r="X72" s="64">
        <f>-X74*Assumptions!$I$21</f>
        <v>0</v>
      </c>
      <c r="Y72" s="64">
        <f>-Y74*Assumptions!$I$21</f>
        <v>0</v>
      </c>
      <c r="Z72" s="64">
        <f>-Z74*Assumptions!$I$21</f>
        <v>0</v>
      </c>
      <c r="AA72" s="64">
        <f>-AA74*Assumptions!$I$21</f>
        <v>0</v>
      </c>
      <c r="AB72" s="64">
        <f>-AB74*Assumptions!$I$21</f>
        <v>0</v>
      </c>
      <c r="AC72" s="64">
        <f>-AC74*Assumptions!$I$21</f>
        <v>0</v>
      </c>
      <c r="AD72" s="64">
        <f>-AD74*Assumptions!$I$21</f>
        <v>0</v>
      </c>
      <c r="AE72" s="64">
        <f>-AE74*Assumptions!$I$21</f>
        <v>0</v>
      </c>
      <c r="AF72" s="64">
        <f>-AF74*Assumptions!$I$21</f>
        <v>0</v>
      </c>
      <c r="AG72" s="64">
        <f>-AG74*Assumptions!$I$21</f>
        <v>0</v>
      </c>
      <c r="AH72" s="64">
        <f>-AH74*Assumptions!$I$21</f>
        <v>0</v>
      </c>
      <c r="AI72" s="64">
        <f>-AI74*Assumptions!$I$21</f>
        <v>0</v>
      </c>
      <c r="AJ72" s="64">
        <f>-AJ74*Assumptions!$I$21</f>
        <v>0</v>
      </c>
      <c r="AK72" s="64">
        <f>-AK74*Assumptions!$I$21</f>
        <v>0</v>
      </c>
      <c r="AL72" s="64">
        <f>-AL74*Assumptions!$I$21</f>
        <v>0</v>
      </c>
      <c r="AM72" s="64">
        <f>-AM74*Assumptions!$I$21</f>
        <v>0</v>
      </c>
      <c r="AN72" s="64">
        <f>-AN74*Assumptions!$I$21</f>
        <v>0</v>
      </c>
      <c r="AO72" s="64">
        <f>-AO74*Assumptions!$I$21</f>
        <v>0</v>
      </c>
      <c r="AP72" s="64">
        <f>-AP74*Assumptions!$I$21</f>
        <v>0</v>
      </c>
      <c r="AQ72" s="64">
        <f>-AQ74*Assumptions!$I$21</f>
        <v>0</v>
      </c>
      <c r="AR72" s="64">
        <f>-AR74*Assumptions!$I$21</f>
        <v>0</v>
      </c>
      <c r="AS72" s="64">
        <f>-AS74*Assumptions!$I$21</f>
        <v>0</v>
      </c>
      <c r="AT72" s="64">
        <f>-AT74*Assumptions!$I$21</f>
        <v>0</v>
      </c>
      <c r="AU72" s="64">
        <f>-AU74*Assumptions!$I$21</f>
        <v>0</v>
      </c>
      <c r="AV72" s="64">
        <f>-AV74*Assumptions!$I$21</f>
        <v>0</v>
      </c>
      <c r="AW72" s="64">
        <f>-AW74*Assumptions!$I$21</f>
        <v>0</v>
      </c>
      <c r="AX72" s="64">
        <f>-AX74*Assumptions!$I$21</f>
        <v>0</v>
      </c>
      <c r="AY72" s="64">
        <f>-AY74*Assumptions!$I$21</f>
        <v>0</v>
      </c>
      <c r="AZ72" s="64">
        <f>-AZ74*Assumptions!$I$21</f>
        <v>0</v>
      </c>
      <c r="BA72" s="64">
        <f>-BA74*Assumptions!$I$21</f>
        <v>0</v>
      </c>
      <c r="BB72" s="64">
        <f>-BB74*Assumptions!$I$21</f>
        <v>0</v>
      </c>
      <c r="BC72" s="64">
        <f>-BC74*Assumptions!$I$21</f>
        <v>0</v>
      </c>
      <c r="BD72" s="64">
        <f>-BD74*Assumptions!$I$21</f>
        <v>0</v>
      </c>
      <c r="BE72" s="64">
        <f>-BE74*Assumptions!$I$21</f>
        <v>0</v>
      </c>
      <c r="BF72" s="64">
        <f>-BF74*Assumptions!$I$21</f>
        <v>0</v>
      </c>
      <c r="BG72" s="64">
        <f>-BG74*Assumptions!$I$21</f>
        <v>0</v>
      </c>
      <c r="BH72" s="64">
        <f>-BH74*Assumptions!$I$21</f>
        <v>0</v>
      </c>
      <c r="BI72" s="64">
        <f>-BI74*Assumptions!$I$21</f>
        <v>0</v>
      </c>
      <c r="BJ72" s="64">
        <f>-BJ74*Assumptions!$I$21</f>
        <v>0</v>
      </c>
      <c r="BK72" s="64">
        <f>-BK74*Assumptions!$I$21</f>
        <v>0</v>
      </c>
      <c r="BL72" s="64">
        <f>-BL74*Assumptions!$I$21</f>
        <v>0</v>
      </c>
      <c r="BM72" s="64">
        <f>-BM74*Assumptions!$I$21</f>
        <v>0</v>
      </c>
      <c r="BN72" s="64">
        <f>-BN74*Assumptions!$I$21</f>
        <v>0</v>
      </c>
      <c r="BO72" s="64">
        <f>-BO74*Assumptions!$I$21</f>
        <v>0</v>
      </c>
      <c r="BP72" s="64">
        <f>-BP74*Assumptions!$I$21</f>
        <v>0</v>
      </c>
      <c r="BQ72" s="64">
        <f>-BQ74*Assumptions!$I$21</f>
        <v>0</v>
      </c>
      <c r="BR72" s="64">
        <f>-BR74*Assumptions!$I$21</f>
        <v>0</v>
      </c>
      <c r="BS72" s="64">
        <f>-BS74*Assumptions!$I$21</f>
        <v>0</v>
      </c>
      <c r="BT72" s="64">
        <f>-BT74*Assumptions!$I$21</f>
        <v>0</v>
      </c>
      <c r="BU72" s="64">
        <f>-BU74*Assumptions!$I$21</f>
        <v>0</v>
      </c>
      <c r="BV72" s="64">
        <f>-BV74*Assumptions!$I$21</f>
        <v>0</v>
      </c>
      <c r="BW72" s="64">
        <f>-BW74*Assumptions!$I$21</f>
        <v>0</v>
      </c>
      <c r="BX72" s="64">
        <f>-BX74*Assumptions!$I$21</f>
        <v>0</v>
      </c>
      <c r="BY72" s="64">
        <f>-BY74*Assumptions!$I$21</f>
        <v>0</v>
      </c>
      <c r="BZ72" s="64">
        <f>-BZ74*Assumptions!$I$21</f>
        <v>0</v>
      </c>
      <c r="CA72" s="64">
        <f>-CA74*Assumptions!$I$21</f>
        <v>0</v>
      </c>
      <c r="CB72" s="64">
        <f>-CB74*Assumptions!$I$21</f>
        <v>0</v>
      </c>
      <c r="CC72" s="64">
        <f>-CC74*Assumptions!$I$21</f>
        <v>0</v>
      </c>
      <c r="CD72" s="64">
        <f>-CD74*Assumptions!$I$21</f>
        <v>0</v>
      </c>
      <c r="CE72" s="64">
        <f>-CE74*Assumptions!$I$21</f>
        <v>0</v>
      </c>
      <c r="CF72" s="64">
        <f>-CF74*Assumptions!$I$21</f>
        <v>0</v>
      </c>
      <c r="CG72" s="64">
        <f>-CG74*Assumptions!$I$21</f>
        <v>0</v>
      </c>
      <c r="CH72" s="64">
        <f>-CH74*Assumptions!$I$21</f>
        <v>0</v>
      </c>
      <c r="CI72" s="64">
        <f>-CI74*Assumptions!$I$21</f>
        <v>0</v>
      </c>
      <c r="CJ72" s="64">
        <f>-CJ74*Assumptions!$I$21</f>
        <v>0</v>
      </c>
      <c r="CK72" s="64">
        <f>-CK74*Assumptions!$I$21</f>
        <v>0</v>
      </c>
      <c r="CL72" s="64">
        <f>-CL74*Assumptions!$I$21</f>
        <v>0</v>
      </c>
    </row>
    <row r="73" spans="2:102" ht="12.6" customHeight="1" x14ac:dyDescent="0.2">
      <c r="B73" s="116" t="s">
        <v>121</v>
      </c>
      <c r="F73" s="64">
        <v>0</v>
      </c>
      <c r="G73" s="57">
        <f>F77</f>
        <v>12000000</v>
      </c>
      <c r="H73" s="57">
        <f t="shared" ref="H73:BS73" si="61">G77</f>
        <v>12000000</v>
      </c>
      <c r="I73" s="57">
        <f t="shared" si="61"/>
        <v>12000000</v>
      </c>
      <c r="J73" s="57">
        <f t="shared" si="61"/>
        <v>12000000</v>
      </c>
      <c r="K73" s="57">
        <f t="shared" si="61"/>
        <v>12000000</v>
      </c>
      <c r="L73" s="57">
        <f t="shared" si="61"/>
        <v>12000000</v>
      </c>
      <c r="M73" s="57">
        <f t="shared" si="61"/>
        <v>12000000</v>
      </c>
      <c r="N73" s="57">
        <f t="shared" si="61"/>
        <v>12000000</v>
      </c>
      <c r="O73" s="57">
        <f t="shared" si="61"/>
        <v>12000000</v>
      </c>
      <c r="P73" s="57">
        <f t="shared" si="61"/>
        <v>12000000</v>
      </c>
      <c r="Q73" s="57">
        <f t="shared" si="61"/>
        <v>12000000</v>
      </c>
      <c r="R73" s="57">
        <f t="shared" si="61"/>
        <v>12000000</v>
      </c>
      <c r="S73" s="57">
        <f t="shared" si="61"/>
        <v>12000000</v>
      </c>
      <c r="T73" s="57">
        <f t="shared" si="61"/>
        <v>12000000</v>
      </c>
      <c r="U73" s="57">
        <f t="shared" si="61"/>
        <v>12000000</v>
      </c>
      <c r="V73" s="57">
        <f t="shared" si="61"/>
        <v>12000000</v>
      </c>
      <c r="W73" s="57">
        <f t="shared" si="61"/>
        <v>12000000</v>
      </c>
      <c r="X73" s="57">
        <f t="shared" si="61"/>
        <v>12000000</v>
      </c>
      <c r="Y73" s="57">
        <f t="shared" si="61"/>
        <v>12000000</v>
      </c>
      <c r="Z73" s="57">
        <f t="shared" si="61"/>
        <v>12000000</v>
      </c>
      <c r="AA73" s="57">
        <f t="shared" si="61"/>
        <v>12000000</v>
      </c>
      <c r="AB73" s="57">
        <f t="shared" si="61"/>
        <v>12000000</v>
      </c>
      <c r="AC73" s="57">
        <f t="shared" si="61"/>
        <v>12000000</v>
      </c>
      <c r="AD73" s="57">
        <f t="shared" si="61"/>
        <v>12000000</v>
      </c>
      <c r="AE73" s="57">
        <f t="shared" si="61"/>
        <v>12000000</v>
      </c>
      <c r="AF73" s="57">
        <f t="shared" si="61"/>
        <v>11989151.837180844</v>
      </c>
      <c r="AG73" s="57">
        <f t="shared" si="61"/>
        <v>11978244.913479751</v>
      </c>
      <c r="AH73" s="57">
        <f t="shared" si="61"/>
        <v>11967278.91060861</v>
      </c>
      <c r="AI73" s="57">
        <f t="shared" si="61"/>
        <v>11956253.50855525</v>
      </c>
      <c r="AJ73" s="57">
        <f t="shared" si="61"/>
        <v>11945168.385574102</v>
      </c>
      <c r="AK73" s="57">
        <f t="shared" si="61"/>
        <v>11934023.218176806</v>
      </c>
      <c r="AL73" s="57">
        <f t="shared" si="61"/>
        <v>11922817.681122774</v>
      </c>
      <c r="AM73" s="57">
        <f t="shared" si="61"/>
        <v>11911551.447409701</v>
      </c>
      <c r="AN73" s="57">
        <f t="shared" si="61"/>
        <v>11900224.188264014</v>
      </c>
      <c r="AO73" s="57">
        <f t="shared" si="61"/>
        <v>11888835.573131289</v>
      </c>
      <c r="AP73" s="57">
        <f t="shared" si="61"/>
        <v>11877385.269666595</v>
      </c>
      <c r="AQ73" s="57">
        <f t="shared" si="61"/>
        <v>11865872.9437248</v>
      </c>
      <c r="AR73" s="57">
        <f t="shared" si="61"/>
        <v>11854298.25935082</v>
      </c>
      <c r="AS73" s="57">
        <f t="shared" si="61"/>
        <v>11842660.878769815</v>
      </c>
      <c r="AT73" s="57">
        <f t="shared" si="61"/>
        <v>11830960.462377328</v>
      </c>
      <c r="AU73" s="57">
        <f t="shared" si="61"/>
        <v>11819196.668729383</v>
      </c>
      <c r="AV73" s="57">
        <f t="shared" si="61"/>
        <v>11807369.154532513</v>
      </c>
      <c r="AW73" s="57">
        <f t="shared" si="61"/>
        <v>11795477.574633742</v>
      </c>
      <c r="AX73" s="57">
        <f t="shared" si="61"/>
        <v>11783521.582010519</v>
      </c>
      <c r="AY73" s="57">
        <f t="shared" si="61"/>
        <v>11771500.827760587</v>
      </c>
      <c r="AZ73" s="57">
        <f t="shared" si="61"/>
        <v>11759414.961091802</v>
      </c>
      <c r="BA73" s="57">
        <f t="shared" si="61"/>
        <v>11747263.629311893</v>
      </c>
      <c r="BB73" s="57">
        <f t="shared" si="61"/>
        <v>11735046.477818176</v>
      </c>
      <c r="BC73" s="57">
        <f t="shared" si="61"/>
        <v>11722763.150087202</v>
      </c>
      <c r="BD73" s="57">
        <f t="shared" si="61"/>
        <v>11710413.287664352</v>
      </c>
      <c r="BE73" s="57">
        <f t="shared" si="61"/>
        <v>11697996.530153379</v>
      </c>
      <c r="BF73" s="57">
        <f t="shared" si="61"/>
        <v>11685512.515205888</v>
      </c>
      <c r="BG73" s="57">
        <f t="shared" si="61"/>
        <v>11672960.878510764</v>
      </c>
      <c r="BH73" s="57">
        <f t="shared" si="61"/>
        <v>11660341.253783541</v>
      </c>
      <c r="BI73" s="57">
        <f t="shared" si="61"/>
        <v>11647653.272755712</v>
      </c>
      <c r="BJ73" s="57">
        <f t="shared" si="61"/>
        <v>11634896.565163983</v>
      </c>
      <c r="BK73" s="57">
        <f t="shared" si="61"/>
        <v>11622070.758739466</v>
      </c>
      <c r="BL73" s="57">
        <f t="shared" si="61"/>
        <v>11609175.479196815</v>
      </c>
      <c r="BM73" s="57">
        <f t="shared" si="61"/>
        <v>11596210.350223308</v>
      </c>
      <c r="BN73" s="57">
        <f t="shared" si="61"/>
        <v>11583174.993467862</v>
      </c>
      <c r="BO73" s="57">
        <f t="shared" si="61"/>
        <v>11570069.02852999</v>
      </c>
      <c r="BP73" s="57">
        <f t="shared" si="61"/>
        <v>11556892.072948705</v>
      </c>
      <c r="BQ73" s="57">
        <f t="shared" si="61"/>
        <v>11543643.742191356</v>
      </c>
      <c r="BR73" s="57">
        <f t="shared" si="61"/>
        <v>11530323.649642402</v>
      </c>
      <c r="BS73" s="57">
        <f t="shared" si="61"/>
        <v>11516931.406592144</v>
      </c>
      <c r="BT73" s="57">
        <f t="shared" ref="BT73:CL73" si="62">BS77</f>
        <v>11503466.622225363</v>
      </c>
      <c r="BU73" s="57">
        <f t="shared" si="62"/>
        <v>11489928.903609928</v>
      </c>
      <c r="BV73" s="57">
        <f t="shared" si="62"/>
        <v>11476317.855685325</v>
      </c>
      <c r="BW73" s="57">
        <f t="shared" si="62"/>
        <v>11462633.081251131</v>
      </c>
      <c r="BX73" s="57">
        <f t="shared" si="62"/>
        <v>11448874.180955419</v>
      </c>
      <c r="BY73" s="57">
        <f t="shared" si="62"/>
        <v>11435040.753283106</v>
      </c>
      <c r="BZ73" s="57">
        <f t="shared" si="62"/>
        <v>11421132.394544234</v>
      </c>
      <c r="CA73" s="57">
        <f t="shared" si="62"/>
        <v>11407148.698862193</v>
      </c>
      <c r="CB73" s="57">
        <f t="shared" si="62"/>
        <v>11393089.258161874</v>
      </c>
      <c r="CC73" s="57">
        <f t="shared" si="62"/>
        <v>11378953.662157763</v>
      </c>
      <c r="CD73" s="57">
        <f t="shared" si="62"/>
        <v>11364741.498341961</v>
      </c>
      <c r="CE73" s="57">
        <f t="shared" si="62"/>
        <v>11350452.351972157</v>
      </c>
      <c r="CF73" s="57">
        <f t="shared" si="62"/>
        <v>11336085.806059517</v>
      </c>
      <c r="CG73" s="57">
        <f t="shared" si="62"/>
        <v>11321641.441356517</v>
      </c>
      <c r="CH73" s="57">
        <f t="shared" si="62"/>
        <v>11307118.83634471</v>
      </c>
      <c r="CI73" s="57">
        <f t="shared" si="62"/>
        <v>11292517.567222422</v>
      </c>
      <c r="CJ73" s="57">
        <f t="shared" si="62"/>
        <v>11277837.207892388</v>
      </c>
      <c r="CK73" s="57">
        <f t="shared" si="62"/>
        <v>11263077.329949316</v>
      </c>
      <c r="CL73" s="57">
        <f t="shared" si="62"/>
        <v>11248237.502667386</v>
      </c>
    </row>
    <row r="74" spans="2:102" ht="12.6" customHeight="1" x14ac:dyDescent="0.2">
      <c r="B74" s="116" t="s">
        <v>122</v>
      </c>
      <c r="F74" s="40">
        <f>Assumptions!$B$32*Assumptions!$H$17*(F$7=$D$3)</f>
        <v>12000000</v>
      </c>
      <c r="G74" s="64">
        <f>Assumptions!$B$32*Assumptions!$H$17*(G$7=$D$3)</f>
        <v>0</v>
      </c>
      <c r="H74" s="64">
        <f>Assumptions!$B$32*Assumptions!$H$17*(H$7=$D$3)</f>
        <v>0</v>
      </c>
      <c r="I74" s="64">
        <f>Assumptions!$B$32*Assumptions!$H$17*(I$7=$D$3)</f>
        <v>0</v>
      </c>
      <c r="J74" s="64">
        <f>Assumptions!$B$32*Assumptions!$H$17*(J$7=$D$3)</f>
        <v>0</v>
      </c>
      <c r="K74" s="64">
        <f>Assumptions!$B$32*Assumptions!$H$17*(K$7=$D$3)</f>
        <v>0</v>
      </c>
      <c r="L74" s="64">
        <f>Assumptions!$B$32*Assumptions!$H$17*(L$7=$D$3)</f>
        <v>0</v>
      </c>
      <c r="M74" s="64">
        <f>Assumptions!$B$32*Assumptions!$H$17*(M$7=$D$3)</f>
        <v>0</v>
      </c>
      <c r="N74" s="64">
        <f>Assumptions!$B$32*Assumptions!$H$17*(N$7=$D$3)</f>
        <v>0</v>
      </c>
      <c r="O74" s="64">
        <f>Assumptions!$B$32*Assumptions!$H$17*(O$7=$D$3)</f>
        <v>0</v>
      </c>
      <c r="P74" s="64">
        <f>Assumptions!$B$32*Assumptions!$H$17*(P$7=$D$3)</f>
        <v>0</v>
      </c>
      <c r="Q74" s="64">
        <f>Assumptions!$B$32*Assumptions!$H$17*(Q$7=$D$3)</f>
        <v>0</v>
      </c>
      <c r="R74" s="64">
        <f>Assumptions!$B$32*Assumptions!$H$17*(R$7=$D$3)</f>
        <v>0</v>
      </c>
      <c r="S74" s="64">
        <f>Assumptions!$B$32*Assumptions!$H$17*(S$7=$D$3)</f>
        <v>0</v>
      </c>
      <c r="T74" s="64">
        <f>Assumptions!$B$32*Assumptions!$H$17*(T$7=$D$3)</f>
        <v>0</v>
      </c>
      <c r="U74" s="64">
        <f>Assumptions!$B$32*Assumptions!$H$17*(U$7=$D$3)</f>
        <v>0</v>
      </c>
      <c r="V74" s="64">
        <f>Assumptions!$B$32*Assumptions!$H$17*(V$7=$D$3)</f>
        <v>0</v>
      </c>
      <c r="W74" s="64">
        <f>Assumptions!$B$32*Assumptions!$H$17*(W$7=$D$3)</f>
        <v>0</v>
      </c>
      <c r="X74" s="64">
        <f>Assumptions!$B$32*Assumptions!$H$17*(X$7=$D$3)</f>
        <v>0</v>
      </c>
      <c r="Y74" s="64">
        <f>Assumptions!$B$32*Assumptions!$H$17*(Y$7=$D$3)</f>
        <v>0</v>
      </c>
      <c r="Z74" s="64">
        <f>Assumptions!$B$32*Assumptions!$H$17*(Z$7=$D$3)</f>
        <v>0</v>
      </c>
      <c r="AA74" s="64">
        <f>Assumptions!$B$32*Assumptions!$H$17*(AA$7=$D$3)</f>
        <v>0</v>
      </c>
      <c r="AB74" s="64">
        <f>Assumptions!$B$32*Assumptions!$H$17*(AB$7=$D$3)</f>
        <v>0</v>
      </c>
      <c r="AC74" s="64">
        <f>Assumptions!$B$32*Assumptions!$H$17*(AC$7=$D$3)</f>
        <v>0</v>
      </c>
      <c r="AD74" s="64">
        <f>Assumptions!$B$32*Assumptions!$H$17*(AD$7=$D$3)</f>
        <v>0</v>
      </c>
      <c r="AE74" s="64">
        <f>Assumptions!$B$32*Assumptions!$H$17*(AE$7=$D$3)</f>
        <v>0</v>
      </c>
      <c r="AF74" s="64">
        <f>Assumptions!$B$32*Assumptions!$H$17*(AF$7=$D$3)</f>
        <v>0</v>
      </c>
      <c r="AG74" s="64">
        <f>Assumptions!$B$32*Assumptions!$H$17*(AG$7=$D$3)</f>
        <v>0</v>
      </c>
      <c r="AH74" s="64">
        <f>Assumptions!$B$32*Assumptions!$H$17*(AH$7=$D$3)</f>
        <v>0</v>
      </c>
      <c r="AI74" s="64">
        <f>Assumptions!$B$32*Assumptions!$H$17*(AI$7=$D$3)</f>
        <v>0</v>
      </c>
      <c r="AJ74" s="64">
        <f>Assumptions!$B$32*Assumptions!$H$17*(AJ$7=$D$3)</f>
        <v>0</v>
      </c>
      <c r="AK74" s="64">
        <f>Assumptions!$B$32*Assumptions!$H$17*(AK$7=$D$3)</f>
        <v>0</v>
      </c>
      <c r="AL74" s="64">
        <f>Assumptions!$B$32*Assumptions!$H$17*(AL$7=$D$3)</f>
        <v>0</v>
      </c>
      <c r="AM74" s="64">
        <f>Assumptions!$B$32*Assumptions!$H$17*(AM$7=$D$3)</f>
        <v>0</v>
      </c>
      <c r="AN74" s="64">
        <f>Assumptions!$B$32*Assumptions!$H$17*(AN$7=$D$3)</f>
        <v>0</v>
      </c>
      <c r="AO74" s="64">
        <f>Assumptions!$B$32*Assumptions!$H$17*(AO$7=$D$3)</f>
        <v>0</v>
      </c>
      <c r="AP74" s="64">
        <f>Assumptions!$B$32*Assumptions!$H$17*(AP$7=$D$3)</f>
        <v>0</v>
      </c>
      <c r="AQ74" s="64">
        <f>Assumptions!$B$32*Assumptions!$H$17*(AQ$7=$D$3)</f>
        <v>0</v>
      </c>
      <c r="AR74" s="64">
        <f>Assumptions!$B$32*Assumptions!$H$17*(AR$7=$D$3)</f>
        <v>0</v>
      </c>
      <c r="AS74" s="64">
        <f>Assumptions!$B$32*Assumptions!$H$17*(AS$7=$D$3)</f>
        <v>0</v>
      </c>
      <c r="AT74" s="64">
        <f>Assumptions!$B$32*Assumptions!$H$17*(AT$7=$D$3)</f>
        <v>0</v>
      </c>
      <c r="AU74" s="64">
        <f>Assumptions!$B$32*Assumptions!$H$17*(AU$7=$D$3)</f>
        <v>0</v>
      </c>
      <c r="AV74" s="64">
        <f>Assumptions!$B$32*Assumptions!$H$17*(AV$7=$D$3)</f>
        <v>0</v>
      </c>
      <c r="AW74" s="64">
        <f>Assumptions!$B$32*Assumptions!$H$17*(AW$7=$D$3)</f>
        <v>0</v>
      </c>
      <c r="AX74" s="64">
        <f>Assumptions!$B$32*Assumptions!$H$17*(AX$7=$D$3)</f>
        <v>0</v>
      </c>
      <c r="AY74" s="64">
        <f>Assumptions!$B$32*Assumptions!$H$17*(AY$7=$D$3)</f>
        <v>0</v>
      </c>
      <c r="AZ74" s="64">
        <f>Assumptions!$B$32*Assumptions!$H$17*(AZ$7=$D$3)</f>
        <v>0</v>
      </c>
      <c r="BA74" s="64">
        <f>Assumptions!$B$32*Assumptions!$H$17*(BA$7=$D$3)</f>
        <v>0</v>
      </c>
      <c r="BB74" s="64">
        <f>Assumptions!$B$32*Assumptions!$H$17*(BB$7=$D$3)</f>
        <v>0</v>
      </c>
      <c r="BC74" s="64">
        <f>Assumptions!$B$32*Assumptions!$H$17*(BC$7=$D$3)</f>
        <v>0</v>
      </c>
      <c r="BD74" s="64">
        <f>Assumptions!$B$32*Assumptions!$H$17*(BD$7=$D$3)</f>
        <v>0</v>
      </c>
      <c r="BE74" s="64">
        <f>Assumptions!$B$32*Assumptions!$H$17*(BE$7=$D$3)</f>
        <v>0</v>
      </c>
      <c r="BF74" s="64">
        <f>Assumptions!$B$32*Assumptions!$H$17*(BF$7=$D$3)</f>
        <v>0</v>
      </c>
      <c r="BG74" s="64">
        <f>Assumptions!$B$32*Assumptions!$H$17*(BG$7=$D$3)</f>
        <v>0</v>
      </c>
      <c r="BH74" s="64">
        <f>Assumptions!$B$32*Assumptions!$H$17*(BH$7=$D$3)</f>
        <v>0</v>
      </c>
      <c r="BI74" s="64">
        <f>Assumptions!$B$32*Assumptions!$H$17*(BI$7=$D$3)</f>
        <v>0</v>
      </c>
      <c r="BJ74" s="64">
        <f>Assumptions!$B$32*Assumptions!$H$17*(BJ$7=$D$3)</f>
        <v>0</v>
      </c>
      <c r="BK74" s="64">
        <f>Assumptions!$B$32*Assumptions!$H$17*(BK$7=$D$3)</f>
        <v>0</v>
      </c>
      <c r="BL74" s="64">
        <f>Assumptions!$B$32*Assumptions!$H$17*(BL$7=$D$3)</f>
        <v>0</v>
      </c>
      <c r="BM74" s="64">
        <f>Assumptions!$B$32*Assumptions!$H$17*(BM$7=$D$3)</f>
        <v>0</v>
      </c>
      <c r="BN74" s="64">
        <f>Assumptions!$B$32*Assumptions!$H$17*(BN$7=$D$3)</f>
        <v>0</v>
      </c>
      <c r="BO74" s="64">
        <f>Assumptions!$B$32*Assumptions!$H$17*(BO$7=$D$3)</f>
        <v>0</v>
      </c>
      <c r="BP74" s="64">
        <f>Assumptions!$B$32*Assumptions!$H$17*(BP$7=$D$3)</f>
        <v>0</v>
      </c>
      <c r="BQ74" s="64">
        <f>Assumptions!$B$32*Assumptions!$H$17*(BQ$7=$D$3)</f>
        <v>0</v>
      </c>
      <c r="BR74" s="64">
        <f>Assumptions!$B$32*Assumptions!$H$17*(BR$7=$D$3)</f>
        <v>0</v>
      </c>
      <c r="BS74" s="64">
        <f>Assumptions!$B$32*Assumptions!$H$17*(BS$7=$D$3)</f>
        <v>0</v>
      </c>
      <c r="BT74" s="64">
        <f>Assumptions!$B$32*Assumptions!$H$17*(BT$7=$D$3)</f>
        <v>0</v>
      </c>
      <c r="BU74" s="64">
        <f>Assumptions!$B$32*Assumptions!$H$17*(BU$7=$D$3)</f>
        <v>0</v>
      </c>
      <c r="BV74" s="64">
        <f>Assumptions!$B$32*Assumptions!$H$17*(BV$7=$D$3)</f>
        <v>0</v>
      </c>
      <c r="BW74" s="64">
        <f>Assumptions!$B$32*Assumptions!$H$17*(BW$7=$D$3)</f>
        <v>0</v>
      </c>
      <c r="BX74" s="64">
        <f>Assumptions!$B$32*Assumptions!$H$17*(BX$7=$D$3)</f>
        <v>0</v>
      </c>
      <c r="BY74" s="64">
        <f>Assumptions!$B$32*Assumptions!$H$17*(BY$7=$D$3)</f>
        <v>0</v>
      </c>
      <c r="BZ74" s="64">
        <f>Assumptions!$B$32*Assumptions!$H$17*(BZ$7=$D$3)</f>
        <v>0</v>
      </c>
      <c r="CA74" s="64">
        <f>Assumptions!$B$32*Assumptions!$H$17*(CA$7=$D$3)</f>
        <v>0</v>
      </c>
      <c r="CB74" s="64">
        <f>Assumptions!$B$32*Assumptions!$H$17*(CB$7=$D$3)</f>
        <v>0</v>
      </c>
      <c r="CC74" s="64">
        <f>Assumptions!$B$32*Assumptions!$H$17*(CC$7=$D$3)</f>
        <v>0</v>
      </c>
      <c r="CD74" s="64">
        <f>Assumptions!$B$32*Assumptions!$H$17*(CD$7=$D$3)</f>
        <v>0</v>
      </c>
      <c r="CE74" s="64">
        <f>Assumptions!$B$32*Assumptions!$H$17*(CE$7=$D$3)</f>
        <v>0</v>
      </c>
      <c r="CF74" s="64">
        <f>Assumptions!$B$32*Assumptions!$H$17*(CF$7=$D$3)</f>
        <v>0</v>
      </c>
      <c r="CG74" s="64">
        <f>Assumptions!$B$32*Assumptions!$H$17*(CG$7=$D$3)</f>
        <v>0</v>
      </c>
      <c r="CH74" s="64">
        <f>Assumptions!$B$32*Assumptions!$H$17*(CH$7=$D$3)</f>
        <v>0</v>
      </c>
      <c r="CI74" s="64">
        <f>Assumptions!$B$32*Assumptions!$H$17*(CI$7=$D$3)</f>
        <v>0</v>
      </c>
      <c r="CJ74" s="64">
        <f>Assumptions!$B$32*Assumptions!$H$17*(CJ$7=$D$3)</f>
        <v>0</v>
      </c>
      <c r="CK74" s="64">
        <f>Assumptions!$B$32*Assumptions!$H$17*(CK$7=$D$3)</f>
        <v>0</v>
      </c>
      <c r="CL74" s="64">
        <f>Assumptions!$B$32*Assumptions!$H$17*(CL$7=$D$3)</f>
        <v>0</v>
      </c>
    </row>
    <row r="75" spans="2:102" ht="12.6" customHeight="1" x14ac:dyDescent="0.2">
      <c r="B75" s="116" t="s">
        <v>123</v>
      </c>
      <c r="F75" s="64">
        <f>(F$7&lt;=$D$4)*(PMT(Assumptions!$H$18/12,Assumptions!$H$20*12,Assumptions!$H$23)-F71)*(F$5&gt;2)</f>
        <v>0</v>
      </c>
      <c r="G75" s="64">
        <f>(G$7&lt;=$D$4)*(PMT(Assumptions!$H$18/12,Assumptions!$H$20*12,Assumptions!$H$23)-G71)*(G$5&gt;2)</f>
        <v>0</v>
      </c>
      <c r="H75" s="64">
        <f>(H$7&lt;=$D$4)*(PMT(Assumptions!$H$18/12,Assumptions!$H$20*12,Assumptions!$H$23)-H71)*(H$5&gt;2)</f>
        <v>0</v>
      </c>
      <c r="I75" s="64">
        <f>(I$7&lt;=$D$4)*(PMT(Assumptions!$H$18/12,Assumptions!$H$20*12,Assumptions!$H$23)-I71)*(I$5&gt;2)</f>
        <v>0</v>
      </c>
      <c r="J75" s="64">
        <f>(J$7&lt;=$D$4)*(PMT(Assumptions!$H$18/12,Assumptions!$H$20*12,Assumptions!$H$23)-J71)*(J$5&gt;2)</f>
        <v>0</v>
      </c>
      <c r="K75" s="64">
        <f>(K$7&lt;=$D$4)*(PMT(Assumptions!$H$18/12,Assumptions!$H$20*12,Assumptions!$H$23)-K71)*(K$5&gt;2)</f>
        <v>0</v>
      </c>
      <c r="L75" s="64">
        <f>(L$7&lt;=$D$4)*(PMT(Assumptions!$H$18/12,Assumptions!$H$20*12,Assumptions!$H$23)-L71)*(L$5&gt;2)</f>
        <v>0</v>
      </c>
      <c r="M75" s="64">
        <f>(M$7&lt;=$D$4)*(PMT(Assumptions!$H$18/12,Assumptions!$H$20*12,Assumptions!$H$23)-M71)*(M$5&gt;2)</f>
        <v>0</v>
      </c>
      <c r="N75" s="64">
        <f>(N$7&lt;=$D$4)*(PMT(Assumptions!$H$18/12,Assumptions!$H$20*12,Assumptions!$H$23)-N71)*(N$5&gt;2)</f>
        <v>0</v>
      </c>
      <c r="O75" s="64">
        <f>(O$7&lt;=$D$4)*(PMT(Assumptions!$H$18/12,Assumptions!$H$20*12,Assumptions!$H$23)-O71)*(O$5&gt;2)</f>
        <v>0</v>
      </c>
      <c r="P75" s="64">
        <f>(P$7&lt;=$D$4)*(PMT(Assumptions!$H$18/12,Assumptions!$H$20*12,Assumptions!$H$23)-P71)*(P$5&gt;2)</f>
        <v>0</v>
      </c>
      <c r="Q75" s="64">
        <f>(Q$7&lt;=$D$4)*(PMT(Assumptions!$H$18/12,Assumptions!$H$20*12,Assumptions!$H$23)-Q71)*(Q$5&gt;2)</f>
        <v>0</v>
      </c>
      <c r="R75" s="64">
        <f>(R$7&lt;=$D$4)*(PMT(Assumptions!$H$18/12,Assumptions!$H$20*12,Assumptions!$H$23)-R71)*(R$5&gt;2)</f>
        <v>0</v>
      </c>
      <c r="S75" s="64">
        <f>(S$7&lt;=$D$4)*(PMT(Assumptions!$H$18/12,Assumptions!$H$20*12,Assumptions!$H$23)-S71)*(S$5&gt;2)</f>
        <v>0</v>
      </c>
      <c r="T75" s="64">
        <f>(T$7&lt;=$D$4)*(PMT(Assumptions!$H$18/12,Assumptions!$H$20*12,Assumptions!$H$23)-T71)*(T$5&gt;2)</f>
        <v>0</v>
      </c>
      <c r="U75" s="64">
        <f>(U$7&lt;=$D$4)*(PMT(Assumptions!$H$18/12,Assumptions!$H$20*12,Assumptions!$H$23)-U71)*(U$5&gt;2)</f>
        <v>0</v>
      </c>
      <c r="V75" s="64">
        <f>(V$7&lt;=$D$4)*(PMT(Assumptions!$H$18/12,Assumptions!$H$20*12,Assumptions!$H$23)-V71)*(V$5&gt;2)</f>
        <v>0</v>
      </c>
      <c r="W75" s="64">
        <f>(W$7&lt;=$D$4)*(PMT(Assumptions!$H$18/12,Assumptions!$H$20*12,Assumptions!$H$23)-W71)*(W$5&gt;2)</f>
        <v>0</v>
      </c>
      <c r="X75" s="64">
        <f>(X$7&lt;=$D$4)*(PMT(Assumptions!$H$18/12,Assumptions!$H$20*12,Assumptions!$H$23)-X71)*(X$5&gt;2)</f>
        <v>0</v>
      </c>
      <c r="Y75" s="64">
        <f>(Y$7&lt;=$D$4)*(PMT(Assumptions!$H$18/12,Assumptions!$H$20*12,Assumptions!$H$23)-Y71)*(Y$5&gt;2)</f>
        <v>0</v>
      </c>
      <c r="Z75" s="64">
        <f>(Z$7&lt;=$D$4)*(PMT(Assumptions!$H$18/12,Assumptions!$H$20*12,Assumptions!$H$23)-Z71)*(Z$5&gt;2)</f>
        <v>0</v>
      </c>
      <c r="AA75" s="64">
        <f>(AA$7&lt;=$D$4)*(PMT(Assumptions!$H$18/12,Assumptions!$H$20*12,Assumptions!$H$23)-AA71)*(AA$5&gt;2)</f>
        <v>0</v>
      </c>
      <c r="AB75" s="64">
        <f>(AB$7&lt;=$D$4)*(PMT(Assumptions!$H$18/12,Assumptions!$H$20*12,Assumptions!$H$23)-AB71)*(AB$5&gt;2)</f>
        <v>0</v>
      </c>
      <c r="AC75" s="64">
        <f>(AC$7&lt;=$D$4)*(PMT(Assumptions!$H$18/12,Assumptions!$H$20*12,Assumptions!$H$23)-AC71)*(AC$5&gt;2)</f>
        <v>0</v>
      </c>
      <c r="AD75" s="64">
        <f>(AD$7&lt;=$D$4)*-($D$69+AD71)*(AD$5&gt;2)</f>
        <v>0</v>
      </c>
      <c r="AE75" s="40">
        <f>(AE$7&lt;=$D$4)*-($D$69+AE71)*(AE$5&gt;2)</f>
        <v>-10848.162819155652</v>
      </c>
      <c r="AF75" s="40">
        <f t="shared" ref="AF75:CL75" si="63">(AF$7&lt;=$D$4)*-($D$69+AF71)*(AF$5&gt;2)</f>
        <v>-10906.923701092754</v>
      </c>
      <c r="AG75" s="40">
        <f t="shared" si="63"/>
        <v>-10966.002871140328</v>
      </c>
      <c r="AH75" s="40">
        <f t="shared" si="63"/>
        <v>-11025.402053359008</v>
      </c>
      <c r="AI75" s="40">
        <f t="shared" si="63"/>
        <v>-11085.122981148037</v>
      </c>
      <c r="AJ75" s="40">
        <f t="shared" si="63"/>
        <v>-11145.167397295925</v>
      </c>
      <c r="AK75" s="40">
        <f t="shared" si="63"/>
        <v>-11205.53705403128</v>
      </c>
      <c r="AL75" s="40">
        <f t="shared" si="63"/>
        <v>-11266.233713073954</v>
      </c>
      <c r="AM75" s="40">
        <f t="shared" si="63"/>
        <v>-11327.259145686439</v>
      </c>
      <c r="AN75" s="40">
        <f t="shared" si="63"/>
        <v>-11388.615132725572</v>
      </c>
      <c r="AO75" s="40">
        <f t="shared" si="63"/>
        <v>-11450.303464694494</v>
      </c>
      <c r="AP75" s="40">
        <f t="shared" si="63"/>
        <v>-11512.325941794923</v>
      </c>
      <c r="AQ75" s="40">
        <f t="shared" si="63"/>
        <v>-11574.684373979646</v>
      </c>
      <c r="AR75" s="40">
        <f t="shared" si="63"/>
        <v>-11637.380581005375</v>
      </c>
      <c r="AS75" s="40">
        <f t="shared" si="63"/>
        <v>-11700.416392485822</v>
      </c>
      <c r="AT75" s="40">
        <f t="shared" si="63"/>
        <v>-11763.793647945116</v>
      </c>
      <c r="AU75" s="40">
        <f t="shared" si="63"/>
        <v>-11827.514196871496</v>
      </c>
      <c r="AV75" s="40">
        <f t="shared" si="63"/>
        <v>-11891.579898771204</v>
      </c>
      <c r="AW75" s="40">
        <f t="shared" si="63"/>
        <v>-11955.992623222883</v>
      </c>
      <c r="AX75" s="40">
        <f t="shared" si="63"/>
        <v>-12020.754249932004</v>
      </c>
      <c r="AY75" s="40">
        <f t="shared" si="63"/>
        <v>-12085.866668785813</v>
      </c>
      <c r="AZ75" s="40">
        <f t="shared" si="63"/>
        <v>-12151.331779908396</v>
      </c>
      <c r="BA75" s="40">
        <f t="shared" si="63"/>
        <v>-12217.151493716236</v>
      </c>
      <c r="BB75" s="40">
        <f t="shared" si="63"/>
        <v>-12283.327730973855</v>
      </c>
      <c r="BC75" s="40">
        <f t="shared" si="63"/>
        <v>-12349.862422849968</v>
      </c>
      <c r="BD75" s="40">
        <f t="shared" si="63"/>
        <v>-12416.757510973745</v>
      </c>
      <c r="BE75" s="40">
        <f t="shared" si="63"/>
        <v>-12484.014947491516</v>
      </c>
      <c r="BF75" s="40">
        <f t="shared" si="63"/>
        <v>-12551.636695123758</v>
      </c>
      <c r="BG75" s="40">
        <f t="shared" si="63"/>
        <v>-12619.624727222348</v>
      </c>
      <c r="BH75" s="40">
        <f t="shared" si="63"/>
        <v>-12687.981027828137</v>
      </c>
      <c r="BI75" s="40">
        <f t="shared" si="63"/>
        <v>-12756.707591728875</v>
      </c>
      <c r="BJ75" s="40">
        <f t="shared" si="63"/>
        <v>-12825.80642451741</v>
      </c>
      <c r="BK75" s="40">
        <f t="shared" si="63"/>
        <v>-12895.279542650205</v>
      </c>
      <c r="BL75" s="40">
        <f t="shared" si="63"/>
        <v>-12965.128973506238</v>
      </c>
      <c r="BM75" s="40">
        <f t="shared" si="63"/>
        <v>-13035.356755446068</v>
      </c>
      <c r="BN75" s="40">
        <f t="shared" si="63"/>
        <v>-13105.964937871395</v>
      </c>
      <c r="BO75" s="40">
        <f t="shared" si="63"/>
        <v>-13176.95558128487</v>
      </c>
      <c r="BP75" s="40">
        <f t="shared" si="63"/>
        <v>-13248.330757350159</v>
      </c>
      <c r="BQ75" s="40">
        <f t="shared" si="63"/>
        <v>-13320.092548952474</v>
      </c>
      <c r="BR75" s="40">
        <f t="shared" si="63"/>
        <v>-13392.243050259298</v>
      </c>
      <c r="BS75" s="40">
        <f t="shared" si="63"/>
        <v>-13464.78436678154</v>
      </c>
      <c r="BT75" s="40">
        <f t="shared" si="63"/>
        <v>-13537.718615434933</v>
      </c>
      <c r="BU75" s="40">
        <f t="shared" si="63"/>
        <v>-13611.047924601873</v>
      </c>
      <c r="BV75" s="40">
        <f t="shared" si="63"/>
        <v>-13684.774434193467</v>
      </c>
      <c r="BW75" s="40">
        <f t="shared" si="63"/>
        <v>-13758.900295712017</v>
      </c>
      <c r="BX75" s="40">
        <f t="shared" si="63"/>
        <v>-13833.427672313795</v>
      </c>
      <c r="BY75" s="40">
        <f t="shared" si="63"/>
        <v>-13908.358738872157</v>
      </c>
      <c r="BZ75" s="40">
        <f t="shared" si="63"/>
        <v>-13983.695682041049</v>
      </c>
      <c r="CA75" s="40">
        <f t="shared" si="63"/>
        <v>-14059.440700318766</v>
      </c>
      <c r="CB75" s="40">
        <f t="shared" si="63"/>
        <v>-14135.596004112165</v>
      </c>
      <c r="CC75" s="40">
        <f t="shared" si="63"/>
        <v>-14212.163815801105</v>
      </c>
      <c r="CD75" s="40">
        <f t="shared" si="63"/>
        <v>-14289.146369803362</v>
      </c>
      <c r="CE75" s="40">
        <f t="shared" si="63"/>
        <v>-14366.545912639798</v>
      </c>
      <c r="CF75" s="40">
        <f t="shared" si="63"/>
        <v>-14444.364702999934</v>
      </c>
      <c r="CG75" s="40">
        <f t="shared" si="63"/>
        <v>-14522.605011807849</v>
      </c>
      <c r="CH75" s="40">
        <f t="shared" si="63"/>
        <v>-14601.269122288468</v>
      </c>
      <c r="CI75" s="40">
        <f t="shared" si="63"/>
        <v>-14680.359330034196</v>
      </c>
      <c r="CJ75" s="40">
        <f t="shared" si="63"/>
        <v>-14759.877943071879</v>
      </c>
      <c r="CK75" s="40">
        <f t="shared" si="63"/>
        <v>-14839.827281930186</v>
      </c>
      <c r="CL75" s="40">
        <f t="shared" si="63"/>
        <v>-14920.20967970731</v>
      </c>
    </row>
    <row r="76" spans="2:102" ht="12.6" customHeight="1" x14ac:dyDescent="0.2">
      <c r="B76" s="116" t="s">
        <v>124</v>
      </c>
      <c r="F76" s="64">
        <f t="shared" ref="F76:AK76" si="64">-SUM(F73:F75)*(F$7=$D$4)</f>
        <v>0</v>
      </c>
      <c r="G76" s="64">
        <f t="shared" si="64"/>
        <v>0</v>
      </c>
      <c r="H76" s="64">
        <f t="shared" si="64"/>
        <v>0</v>
      </c>
      <c r="I76" s="64">
        <f t="shared" si="64"/>
        <v>0</v>
      </c>
      <c r="J76" s="64">
        <f t="shared" si="64"/>
        <v>0</v>
      </c>
      <c r="K76" s="64">
        <f t="shared" si="64"/>
        <v>0</v>
      </c>
      <c r="L76" s="64">
        <f t="shared" si="64"/>
        <v>0</v>
      </c>
      <c r="M76" s="64">
        <f t="shared" si="64"/>
        <v>0</v>
      </c>
      <c r="N76" s="64">
        <f t="shared" si="64"/>
        <v>0</v>
      </c>
      <c r="O76" s="64">
        <f t="shared" si="64"/>
        <v>0</v>
      </c>
      <c r="P76" s="64">
        <f t="shared" si="64"/>
        <v>0</v>
      </c>
      <c r="Q76" s="64">
        <f t="shared" si="64"/>
        <v>0</v>
      </c>
      <c r="R76" s="64">
        <f t="shared" si="64"/>
        <v>0</v>
      </c>
      <c r="S76" s="64">
        <f t="shared" si="64"/>
        <v>0</v>
      </c>
      <c r="T76" s="64">
        <f t="shared" si="64"/>
        <v>0</v>
      </c>
      <c r="U76" s="64">
        <f t="shared" si="64"/>
        <v>0</v>
      </c>
      <c r="V76" s="64">
        <f t="shared" si="64"/>
        <v>0</v>
      </c>
      <c r="W76" s="64">
        <f t="shared" si="64"/>
        <v>0</v>
      </c>
      <c r="X76" s="64">
        <f t="shared" si="64"/>
        <v>0</v>
      </c>
      <c r="Y76" s="64">
        <f t="shared" si="64"/>
        <v>0</v>
      </c>
      <c r="Z76" s="64">
        <f t="shared" si="64"/>
        <v>0</v>
      </c>
      <c r="AA76" s="64">
        <f t="shared" si="64"/>
        <v>0</v>
      </c>
      <c r="AB76" s="64">
        <f t="shared" si="64"/>
        <v>0</v>
      </c>
      <c r="AC76" s="64">
        <f t="shared" si="64"/>
        <v>0</v>
      </c>
      <c r="AD76" s="64">
        <f t="shared" si="64"/>
        <v>0</v>
      </c>
      <c r="AE76" s="64">
        <f t="shared" si="64"/>
        <v>0</v>
      </c>
      <c r="AF76" s="64">
        <f t="shared" si="64"/>
        <v>0</v>
      </c>
      <c r="AG76" s="64">
        <f t="shared" si="64"/>
        <v>0</v>
      </c>
      <c r="AH76" s="64">
        <f t="shared" si="64"/>
        <v>0</v>
      </c>
      <c r="AI76" s="64">
        <f t="shared" si="64"/>
        <v>0</v>
      </c>
      <c r="AJ76" s="64">
        <f t="shared" si="64"/>
        <v>0</v>
      </c>
      <c r="AK76" s="64">
        <f t="shared" si="64"/>
        <v>0</v>
      </c>
      <c r="AL76" s="64">
        <f t="shared" ref="AL76:BQ76" si="65">-SUM(AL73:AL75)*(AL$7=$D$4)</f>
        <v>0</v>
      </c>
      <c r="AM76" s="64">
        <f t="shared" si="65"/>
        <v>0</v>
      </c>
      <c r="AN76" s="64">
        <f t="shared" si="65"/>
        <v>0</v>
      </c>
      <c r="AO76" s="64">
        <f t="shared" si="65"/>
        <v>0</v>
      </c>
      <c r="AP76" s="64">
        <f t="shared" si="65"/>
        <v>0</v>
      </c>
      <c r="AQ76" s="64">
        <f t="shared" si="65"/>
        <v>0</v>
      </c>
      <c r="AR76" s="64">
        <f t="shared" si="65"/>
        <v>0</v>
      </c>
      <c r="AS76" s="64">
        <f t="shared" si="65"/>
        <v>0</v>
      </c>
      <c r="AT76" s="64">
        <f t="shared" si="65"/>
        <v>0</v>
      </c>
      <c r="AU76" s="64">
        <f t="shared" si="65"/>
        <v>0</v>
      </c>
      <c r="AV76" s="64">
        <f t="shared" si="65"/>
        <v>0</v>
      </c>
      <c r="AW76" s="64">
        <f t="shared" si="65"/>
        <v>0</v>
      </c>
      <c r="AX76" s="64">
        <f t="shared" si="65"/>
        <v>0</v>
      </c>
      <c r="AY76" s="64">
        <f t="shared" si="65"/>
        <v>0</v>
      </c>
      <c r="AZ76" s="64">
        <f t="shared" si="65"/>
        <v>0</v>
      </c>
      <c r="BA76" s="64">
        <f t="shared" si="65"/>
        <v>0</v>
      </c>
      <c r="BB76" s="64">
        <f t="shared" si="65"/>
        <v>0</v>
      </c>
      <c r="BC76" s="64">
        <f t="shared" si="65"/>
        <v>0</v>
      </c>
      <c r="BD76" s="64">
        <f t="shared" si="65"/>
        <v>0</v>
      </c>
      <c r="BE76" s="64">
        <f t="shared" si="65"/>
        <v>0</v>
      </c>
      <c r="BF76" s="64">
        <f t="shared" si="65"/>
        <v>0</v>
      </c>
      <c r="BG76" s="64">
        <f t="shared" si="65"/>
        <v>0</v>
      </c>
      <c r="BH76" s="64">
        <f t="shared" si="65"/>
        <v>0</v>
      </c>
      <c r="BI76" s="64">
        <f t="shared" si="65"/>
        <v>0</v>
      </c>
      <c r="BJ76" s="64">
        <f t="shared" si="65"/>
        <v>0</v>
      </c>
      <c r="BK76" s="64">
        <f t="shared" si="65"/>
        <v>0</v>
      </c>
      <c r="BL76" s="64">
        <f t="shared" si="65"/>
        <v>0</v>
      </c>
      <c r="BM76" s="64">
        <f t="shared" si="65"/>
        <v>0</v>
      </c>
      <c r="BN76" s="64">
        <f t="shared" si="65"/>
        <v>0</v>
      </c>
      <c r="BO76" s="64">
        <f t="shared" si="65"/>
        <v>0</v>
      </c>
      <c r="BP76" s="64">
        <f t="shared" si="65"/>
        <v>0</v>
      </c>
      <c r="BQ76" s="64">
        <f t="shared" si="65"/>
        <v>0</v>
      </c>
      <c r="BR76" s="64">
        <f t="shared" ref="BR76:CL76" si="66">-SUM(BR73:BR75)*(BR$7=$D$4)</f>
        <v>0</v>
      </c>
      <c r="BS76" s="64">
        <f t="shared" si="66"/>
        <v>0</v>
      </c>
      <c r="BT76" s="64">
        <f t="shared" si="66"/>
        <v>0</v>
      </c>
      <c r="BU76" s="64">
        <f t="shared" si="66"/>
        <v>0</v>
      </c>
      <c r="BV76" s="64">
        <f t="shared" si="66"/>
        <v>0</v>
      </c>
      <c r="BW76" s="64">
        <f t="shared" si="66"/>
        <v>0</v>
      </c>
      <c r="BX76" s="64">
        <f t="shared" si="66"/>
        <v>0</v>
      </c>
      <c r="BY76" s="64">
        <f t="shared" si="66"/>
        <v>0</v>
      </c>
      <c r="BZ76" s="64">
        <f t="shared" si="66"/>
        <v>0</v>
      </c>
      <c r="CA76" s="64">
        <f t="shared" si="66"/>
        <v>0</v>
      </c>
      <c r="CB76" s="64">
        <f t="shared" si="66"/>
        <v>0</v>
      </c>
      <c r="CC76" s="64">
        <f t="shared" si="66"/>
        <v>0</v>
      </c>
      <c r="CD76" s="64">
        <f t="shared" si="66"/>
        <v>0</v>
      </c>
      <c r="CE76" s="64">
        <f t="shared" si="66"/>
        <v>0</v>
      </c>
      <c r="CF76" s="64">
        <f t="shared" si="66"/>
        <v>0</v>
      </c>
      <c r="CG76" s="64">
        <f t="shared" si="66"/>
        <v>0</v>
      </c>
      <c r="CH76" s="64">
        <f t="shared" si="66"/>
        <v>0</v>
      </c>
      <c r="CI76" s="64">
        <f t="shared" si="66"/>
        <v>0</v>
      </c>
      <c r="CJ76" s="64">
        <f t="shared" si="66"/>
        <v>0</v>
      </c>
      <c r="CK76" s="64">
        <f t="shared" si="66"/>
        <v>0</v>
      </c>
      <c r="CL76" s="124">
        <f t="shared" si="66"/>
        <v>-11233317.292987678</v>
      </c>
    </row>
    <row r="77" spans="2:102" ht="12.6" customHeight="1" x14ac:dyDescent="0.2">
      <c r="B77" s="45" t="s">
        <v>125</v>
      </c>
      <c r="C77" s="42"/>
      <c r="D77" s="42"/>
      <c r="E77" s="42"/>
      <c r="F77" s="77">
        <f>SUM(F73:F76)</f>
        <v>12000000</v>
      </c>
      <c r="G77" s="77">
        <f>SUM(G73:G76)</f>
        <v>12000000</v>
      </c>
      <c r="H77" s="77">
        <f t="shared" ref="H77:BS77" si="67">SUM(H73:H76)</f>
        <v>12000000</v>
      </c>
      <c r="I77" s="77">
        <f t="shared" si="67"/>
        <v>12000000</v>
      </c>
      <c r="J77" s="77">
        <f t="shared" si="67"/>
        <v>12000000</v>
      </c>
      <c r="K77" s="77">
        <f t="shared" si="67"/>
        <v>12000000</v>
      </c>
      <c r="L77" s="77">
        <f t="shared" si="67"/>
        <v>12000000</v>
      </c>
      <c r="M77" s="77">
        <f t="shared" si="67"/>
        <v>12000000</v>
      </c>
      <c r="N77" s="77">
        <f t="shared" si="67"/>
        <v>12000000</v>
      </c>
      <c r="O77" s="77">
        <f t="shared" si="67"/>
        <v>12000000</v>
      </c>
      <c r="P77" s="77">
        <f t="shared" si="67"/>
        <v>12000000</v>
      </c>
      <c r="Q77" s="77">
        <f t="shared" si="67"/>
        <v>12000000</v>
      </c>
      <c r="R77" s="77">
        <f t="shared" si="67"/>
        <v>12000000</v>
      </c>
      <c r="S77" s="77">
        <f t="shared" si="67"/>
        <v>12000000</v>
      </c>
      <c r="T77" s="77">
        <f t="shared" si="67"/>
        <v>12000000</v>
      </c>
      <c r="U77" s="77">
        <f t="shared" si="67"/>
        <v>12000000</v>
      </c>
      <c r="V77" s="77">
        <f t="shared" si="67"/>
        <v>12000000</v>
      </c>
      <c r="W77" s="77">
        <f t="shared" si="67"/>
        <v>12000000</v>
      </c>
      <c r="X77" s="77">
        <f t="shared" si="67"/>
        <v>12000000</v>
      </c>
      <c r="Y77" s="77">
        <f t="shared" si="67"/>
        <v>12000000</v>
      </c>
      <c r="Z77" s="77">
        <f t="shared" si="67"/>
        <v>12000000</v>
      </c>
      <c r="AA77" s="77">
        <f t="shared" si="67"/>
        <v>12000000</v>
      </c>
      <c r="AB77" s="77">
        <f t="shared" si="67"/>
        <v>12000000</v>
      </c>
      <c r="AC77" s="77">
        <f t="shared" si="67"/>
        <v>12000000</v>
      </c>
      <c r="AD77" s="77">
        <f t="shared" si="67"/>
        <v>12000000</v>
      </c>
      <c r="AE77" s="77">
        <f t="shared" si="67"/>
        <v>11989151.837180844</v>
      </c>
      <c r="AF77" s="77">
        <f t="shared" si="67"/>
        <v>11978244.913479751</v>
      </c>
      <c r="AG77" s="77">
        <f t="shared" si="67"/>
        <v>11967278.91060861</v>
      </c>
      <c r="AH77" s="77">
        <f t="shared" si="67"/>
        <v>11956253.50855525</v>
      </c>
      <c r="AI77" s="77">
        <f t="shared" si="67"/>
        <v>11945168.385574102</v>
      </c>
      <c r="AJ77" s="77">
        <f t="shared" si="67"/>
        <v>11934023.218176806</v>
      </c>
      <c r="AK77" s="77">
        <f t="shared" si="67"/>
        <v>11922817.681122774</v>
      </c>
      <c r="AL77" s="77">
        <f t="shared" si="67"/>
        <v>11911551.447409701</v>
      </c>
      <c r="AM77" s="77">
        <f t="shared" si="67"/>
        <v>11900224.188264014</v>
      </c>
      <c r="AN77" s="77">
        <f t="shared" si="67"/>
        <v>11888835.573131289</v>
      </c>
      <c r="AO77" s="77">
        <f t="shared" si="67"/>
        <v>11877385.269666595</v>
      </c>
      <c r="AP77" s="77">
        <f t="shared" si="67"/>
        <v>11865872.9437248</v>
      </c>
      <c r="AQ77" s="77">
        <f t="shared" si="67"/>
        <v>11854298.25935082</v>
      </c>
      <c r="AR77" s="77">
        <f t="shared" si="67"/>
        <v>11842660.878769815</v>
      </c>
      <c r="AS77" s="77">
        <f t="shared" si="67"/>
        <v>11830960.462377328</v>
      </c>
      <c r="AT77" s="77">
        <f t="shared" si="67"/>
        <v>11819196.668729383</v>
      </c>
      <c r="AU77" s="77">
        <f t="shared" si="67"/>
        <v>11807369.154532513</v>
      </c>
      <c r="AV77" s="77">
        <f t="shared" si="67"/>
        <v>11795477.574633742</v>
      </c>
      <c r="AW77" s="77">
        <f t="shared" si="67"/>
        <v>11783521.582010519</v>
      </c>
      <c r="AX77" s="77">
        <f t="shared" si="67"/>
        <v>11771500.827760587</v>
      </c>
      <c r="AY77" s="77">
        <f t="shared" si="67"/>
        <v>11759414.961091802</v>
      </c>
      <c r="AZ77" s="77">
        <f t="shared" si="67"/>
        <v>11747263.629311893</v>
      </c>
      <c r="BA77" s="77">
        <f t="shared" si="67"/>
        <v>11735046.477818176</v>
      </c>
      <c r="BB77" s="77">
        <f t="shared" si="67"/>
        <v>11722763.150087202</v>
      </c>
      <c r="BC77" s="77">
        <f t="shared" si="67"/>
        <v>11710413.287664352</v>
      </c>
      <c r="BD77" s="77">
        <f t="shared" si="67"/>
        <v>11697996.530153379</v>
      </c>
      <c r="BE77" s="77">
        <f t="shared" si="67"/>
        <v>11685512.515205888</v>
      </c>
      <c r="BF77" s="77">
        <f t="shared" si="67"/>
        <v>11672960.878510764</v>
      </c>
      <c r="BG77" s="77">
        <f t="shared" si="67"/>
        <v>11660341.253783541</v>
      </c>
      <c r="BH77" s="77">
        <f t="shared" si="67"/>
        <v>11647653.272755712</v>
      </c>
      <c r="BI77" s="77">
        <f t="shared" si="67"/>
        <v>11634896.565163983</v>
      </c>
      <c r="BJ77" s="77">
        <f t="shared" si="67"/>
        <v>11622070.758739466</v>
      </c>
      <c r="BK77" s="77">
        <f t="shared" si="67"/>
        <v>11609175.479196815</v>
      </c>
      <c r="BL77" s="77">
        <f t="shared" si="67"/>
        <v>11596210.350223308</v>
      </c>
      <c r="BM77" s="77">
        <f t="shared" si="67"/>
        <v>11583174.993467862</v>
      </c>
      <c r="BN77" s="77">
        <f t="shared" si="67"/>
        <v>11570069.02852999</v>
      </c>
      <c r="BO77" s="77">
        <f t="shared" si="67"/>
        <v>11556892.072948705</v>
      </c>
      <c r="BP77" s="77">
        <f t="shared" si="67"/>
        <v>11543643.742191356</v>
      </c>
      <c r="BQ77" s="77">
        <f t="shared" si="67"/>
        <v>11530323.649642402</v>
      </c>
      <c r="BR77" s="77">
        <f t="shared" si="67"/>
        <v>11516931.406592144</v>
      </c>
      <c r="BS77" s="77">
        <f t="shared" si="67"/>
        <v>11503466.622225363</v>
      </c>
      <c r="BT77" s="77">
        <f t="shared" ref="BT77:CL77" si="68">SUM(BT73:BT76)</f>
        <v>11489928.903609928</v>
      </c>
      <c r="BU77" s="77">
        <f t="shared" si="68"/>
        <v>11476317.855685325</v>
      </c>
      <c r="BV77" s="77">
        <f t="shared" si="68"/>
        <v>11462633.081251131</v>
      </c>
      <c r="BW77" s="77">
        <f t="shared" si="68"/>
        <v>11448874.180955419</v>
      </c>
      <c r="BX77" s="77">
        <f t="shared" si="68"/>
        <v>11435040.753283106</v>
      </c>
      <c r="BY77" s="77">
        <f t="shared" si="68"/>
        <v>11421132.394544234</v>
      </c>
      <c r="BZ77" s="77">
        <f t="shared" si="68"/>
        <v>11407148.698862193</v>
      </c>
      <c r="CA77" s="77">
        <f t="shared" si="68"/>
        <v>11393089.258161874</v>
      </c>
      <c r="CB77" s="77">
        <f t="shared" si="68"/>
        <v>11378953.662157763</v>
      </c>
      <c r="CC77" s="77">
        <f t="shared" si="68"/>
        <v>11364741.498341961</v>
      </c>
      <c r="CD77" s="77">
        <f t="shared" si="68"/>
        <v>11350452.351972157</v>
      </c>
      <c r="CE77" s="77">
        <f t="shared" si="68"/>
        <v>11336085.806059517</v>
      </c>
      <c r="CF77" s="77">
        <f t="shared" si="68"/>
        <v>11321641.441356517</v>
      </c>
      <c r="CG77" s="77">
        <f t="shared" si="68"/>
        <v>11307118.83634471</v>
      </c>
      <c r="CH77" s="77">
        <f t="shared" si="68"/>
        <v>11292517.567222422</v>
      </c>
      <c r="CI77" s="77">
        <f t="shared" si="68"/>
        <v>11277837.207892388</v>
      </c>
      <c r="CJ77" s="77">
        <f t="shared" si="68"/>
        <v>11263077.329949316</v>
      </c>
      <c r="CK77" s="77">
        <f t="shared" si="68"/>
        <v>11248237.502667386</v>
      </c>
      <c r="CL77" s="77">
        <f t="shared" si="68"/>
        <v>0</v>
      </c>
    </row>
    <row r="78" spans="2:102" ht="12.6" customHeight="1" x14ac:dyDescent="0.2">
      <c r="B78" s="22" t="s">
        <v>166</v>
      </c>
      <c r="F78" s="40"/>
      <c r="G78" s="177">
        <f>G43/-G71</f>
        <v>1.5832741794871794</v>
      </c>
      <c r="H78" s="177">
        <f t="shared" ref="H78:BS78" si="69">H43/-H71</f>
        <v>1.5832741794871794</v>
      </c>
      <c r="I78" s="177">
        <f t="shared" si="69"/>
        <v>1.5832741794871794</v>
      </c>
      <c r="J78" s="177">
        <f t="shared" si="69"/>
        <v>1.5832741794871794</v>
      </c>
      <c r="K78" s="177">
        <f t="shared" si="69"/>
        <v>1.5832741794871794</v>
      </c>
      <c r="L78" s="177">
        <f t="shared" si="69"/>
        <v>1.5832741794871794</v>
      </c>
      <c r="M78" s="177">
        <f t="shared" si="69"/>
        <v>1.5832741794871794</v>
      </c>
      <c r="N78" s="177">
        <f t="shared" si="69"/>
        <v>1.5832741794871794</v>
      </c>
      <c r="O78" s="177">
        <f t="shared" si="69"/>
        <v>1.5832741794871794</v>
      </c>
      <c r="P78" s="177">
        <f t="shared" si="69"/>
        <v>1.5832741794871794</v>
      </c>
      <c r="Q78" s="177">
        <f t="shared" si="69"/>
        <v>1.5832741794871794</v>
      </c>
      <c r="R78" s="177">
        <f t="shared" si="69"/>
        <v>1.5832741794871794</v>
      </c>
      <c r="S78" s="177">
        <f t="shared" si="69"/>
        <v>2.2099633904487179</v>
      </c>
      <c r="T78" s="177">
        <f t="shared" si="69"/>
        <v>2.2099633904487179</v>
      </c>
      <c r="U78" s="177">
        <f t="shared" si="69"/>
        <v>2.2099633904487179</v>
      </c>
      <c r="V78" s="177">
        <f t="shared" si="69"/>
        <v>2.2099633904487179</v>
      </c>
      <c r="W78" s="177">
        <f t="shared" si="69"/>
        <v>2.2099633904487179</v>
      </c>
      <c r="X78" s="177">
        <f t="shared" si="69"/>
        <v>2.2099633904487179</v>
      </c>
      <c r="Y78" s="177">
        <f t="shared" si="69"/>
        <v>2.2099633904487179</v>
      </c>
      <c r="Z78" s="177">
        <f t="shared" si="69"/>
        <v>2.2099633904487179</v>
      </c>
      <c r="AA78" s="177">
        <f t="shared" si="69"/>
        <v>2.2099633904487179</v>
      </c>
      <c r="AB78" s="177">
        <f t="shared" si="69"/>
        <v>2.2099633904487179</v>
      </c>
      <c r="AC78" s="177">
        <f t="shared" si="69"/>
        <v>2.2099633904487179</v>
      </c>
      <c r="AD78" s="177">
        <f t="shared" si="69"/>
        <v>2.2099633904487179</v>
      </c>
      <c r="AE78" s="177">
        <f t="shared" si="69"/>
        <v>3.0279671659602565</v>
      </c>
      <c r="AF78" s="177">
        <f t="shared" si="69"/>
        <v>3.0307069661791117</v>
      </c>
      <c r="AG78" s="177">
        <f t="shared" si="69"/>
        <v>3.0334666100066712</v>
      </c>
      <c r="AH78" s="177">
        <f t="shared" si="69"/>
        <v>3.0362462731032966</v>
      </c>
      <c r="AI78" s="177">
        <f t="shared" si="69"/>
        <v>3.0390461330987395</v>
      </c>
      <c r="AJ78" s="177">
        <f t="shared" si="69"/>
        <v>3.0418663696197643</v>
      </c>
      <c r="AK78" s="177">
        <f t="shared" si="69"/>
        <v>3.0447071643182344</v>
      </c>
      <c r="AL78" s="177">
        <f t="shared" si="69"/>
        <v>3.0475687008996806</v>
      </c>
      <c r="AM78" s="177">
        <f t="shared" si="69"/>
        <v>3.0504511651523494</v>
      </c>
      <c r="AN78" s="177">
        <f t="shared" si="69"/>
        <v>3.0533547449767546</v>
      </c>
      <c r="AO78" s="177">
        <f t="shared" si="69"/>
        <v>3.0562796304157294</v>
      </c>
      <c r="AP78" s="177">
        <f t="shared" si="69"/>
        <v>3.0592260136849996</v>
      </c>
      <c r="AQ78" s="177">
        <f t="shared" si="69"/>
        <v>3.2523559039592254</v>
      </c>
      <c r="AR78" s="177">
        <f t="shared" si="69"/>
        <v>3.2555315447467756</v>
      </c>
      <c r="AS78" s="177">
        <f t="shared" si="69"/>
        <v>3.2587306450138116</v>
      </c>
      <c r="AT78" s="177">
        <f t="shared" si="69"/>
        <v>3.2619534184799948</v>
      </c>
      <c r="AU78" s="177">
        <f t="shared" si="69"/>
        <v>3.2652000813437865</v>
      </c>
      <c r="AV78" s="177">
        <f t="shared" si="69"/>
        <v>3.268470852318444</v>
      </c>
      <c r="AW78" s="177">
        <f t="shared" si="69"/>
        <v>3.2717659526686607</v>
      </c>
      <c r="AX78" s="177">
        <f t="shared" si="69"/>
        <v>3.2750856062478366</v>
      </c>
      <c r="AY78" s="177">
        <f t="shared" si="69"/>
        <v>3.2784300395360169</v>
      </c>
      <c r="AZ78" s="177">
        <f t="shared" si="69"/>
        <v>3.281799481678493</v>
      </c>
      <c r="BA78" s="177">
        <f t="shared" si="69"/>
        <v>3.2851941645251013</v>
      </c>
      <c r="BB78" s="177">
        <f t="shared" si="69"/>
        <v>3.2886143226702038</v>
      </c>
      <c r="BC78" s="177">
        <f t="shared" si="69"/>
        <v>3.3917039126667561</v>
      </c>
      <c r="BD78" s="177">
        <f t="shared" si="69"/>
        <v>3.3952808211559384</v>
      </c>
      <c r="BE78" s="177">
        <f t="shared" si="69"/>
        <v>3.3988847185010336</v>
      </c>
      <c r="BF78" s="177">
        <f t="shared" si="69"/>
        <v>3.4025158581344344</v>
      </c>
      <c r="BG78" s="177">
        <f t="shared" si="69"/>
        <v>3.4061744965334819</v>
      </c>
      <c r="BH78" s="177">
        <f t="shared" si="69"/>
        <v>3.409860893266317</v>
      </c>
      <c r="BI78" s="177">
        <f t="shared" si="69"/>
        <v>3.4135753110385645</v>
      </c>
      <c r="BJ78" s="177">
        <f t="shared" si="69"/>
        <v>3.4173180157408689</v>
      </c>
      <c r="BK78" s="177">
        <f t="shared" si="69"/>
        <v>3.4210892764973004</v>
      </c>
      <c r="BL78" s="177">
        <f t="shared" si="69"/>
        <v>3.4248893657146486</v>
      </c>
      <c r="BM78" s="177">
        <f t="shared" si="69"/>
        <v>3.4287185591326201</v>
      </c>
      <c r="BN78" s="177">
        <f t="shared" si="69"/>
        <v>3.4325771358749653</v>
      </c>
      <c r="BO78" s="177">
        <f t="shared" si="69"/>
        <v>3.5405007610067667</v>
      </c>
      <c r="BP78" s="177">
        <f t="shared" si="69"/>
        <v>3.5445375747944881</v>
      </c>
      <c r="BQ78" s="177">
        <f t="shared" si="69"/>
        <v>3.5486055456381398</v>
      </c>
      <c r="BR78" s="177">
        <f t="shared" si="69"/>
        <v>3.552704975604192</v>
      </c>
      <c r="BS78" s="177">
        <f t="shared" si="69"/>
        <v>3.5568361705240403</v>
      </c>
      <c r="BT78" s="177">
        <f t="shared" ref="BT78:CL78" si="70">BT43/-BT71</f>
        <v>3.5609994400528571</v>
      </c>
      <c r="BU78" s="177">
        <f t="shared" si="70"/>
        <v>3.5651950977295561</v>
      </c>
      <c r="BV78" s="177">
        <f t="shared" si="70"/>
        <v>3.5694234610378897</v>
      </c>
      <c r="BW78" s="177">
        <f t="shared" si="70"/>
        <v>3.5736848514687081</v>
      </c>
      <c r="BX78" s="177">
        <f t="shared" si="70"/>
        <v>3.5779795945834021</v>
      </c>
      <c r="BY78" s="177">
        <f t="shared" si="70"/>
        <v>3.58230802007856</v>
      </c>
      <c r="BZ78" s="177">
        <f t="shared" si="70"/>
        <v>3.5866704618518637</v>
      </c>
      <c r="CA78" s="177">
        <f t="shared" si="70"/>
        <v>3.6993980905906447</v>
      </c>
      <c r="CB78" s="177">
        <f t="shared" si="70"/>
        <v>3.7039632675064906</v>
      </c>
      <c r="CC78" s="177">
        <f t="shared" si="70"/>
        <v>3.7085645454374894</v>
      </c>
      <c r="CD78" s="177">
        <f t="shared" si="70"/>
        <v>3.7132022863706129</v>
      </c>
      <c r="CE78" s="177">
        <f t="shared" si="70"/>
        <v>3.7178768569802521</v>
      </c>
      <c r="CF78" s="177">
        <f t="shared" si="70"/>
        <v>3.7225886287043863</v>
      </c>
      <c r="CG78" s="177">
        <f t="shared" si="70"/>
        <v>3.7273379778222475</v>
      </c>
      <c r="CH78" s="177">
        <f t="shared" si="70"/>
        <v>3.7321252855335123</v>
      </c>
      <c r="CI78" s="177">
        <f t="shared" si="70"/>
        <v>3.7369509380390564</v>
      </c>
      <c r="CJ78" s="177">
        <f t="shared" si="70"/>
        <v>3.7418153266233083</v>
      </c>
      <c r="CK78" s="177">
        <f t="shared" si="70"/>
        <v>3.7467188477382365</v>
      </c>
      <c r="CL78" s="177">
        <f t="shared" si="70"/>
        <v>3.751661903089015</v>
      </c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</row>
    <row r="80" spans="2:102" ht="12.6" customHeight="1" x14ac:dyDescent="0.2">
      <c r="B80" s="65" t="s">
        <v>126</v>
      </c>
      <c r="C80" s="62"/>
      <c r="D80" s="62"/>
      <c r="E80" s="42"/>
      <c r="F80" s="66">
        <f>SUM(F58,F71,F72,F74:F76)</f>
        <v>-8520000</v>
      </c>
      <c r="G80" s="66">
        <f t="shared" ref="G80:AK80" si="71">SUM(G58,G71,G72,G74:G76)</f>
        <v>-12087.178333333344</v>
      </c>
      <c r="H80" s="66">
        <f t="shared" si="71"/>
        <v>37912.821666666656</v>
      </c>
      <c r="I80" s="66">
        <f t="shared" si="71"/>
        <v>37912.821666666656</v>
      </c>
      <c r="J80" s="66">
        <f t="shared" si="71"/>
        <v>37912.821666666656</v>
      </c>
      <c r="K80" s="66">
        <f t="shared" si="71"/>
        <v>37912.821666666656</v>
      </c>
      <c r="L80" s="66">
        <f t="shared" si="71"/>
        <v>37912.821666666656</v>
      </c>
      <c r="M80" s="66">
        <f t="shared" si="71"/>
        <v>37912.821666666656</v>
      </c>
      <c r="N80" s="66">
        <f t="shared" si="71"/>
        <v>37912.821666666656</v>
      </c>
      <c r="O80" s="66">
        <f t="shared" si="71"/>
        <v>37912.821666666656</v>
      </c>
      <c r="P80" s="66">
        <f t="shared" si="71"/>
        <v>37912.821666666656</v>
      </c>
      <c r="Q80" s="66">
        <f t="shared" si="71"/>
        <v>37912.821666666656</v>
      </c>
      <c r="R80" s="66">
        <f t="shared" si="71"/>
        <v>37912.821666666656</v>
      </c>
      <c r="S80" s="66">
        <f t="shared" si="71"/>
        <v>78647.620379166678</v>
      </c>
      <c r="T80" s="66">
        <f t="shared" si="71"/>
        <v>78647.620379166678</v>
      </c>
      <c r="U80" s="66">
        <f t="shared" si="71"/>
        <v>78647.620379166678</v>
      </c>
      <c r="V80" s="66">
        <f t="shared" si="71"/>
        <v>78647.620379166678</v>
      </c>
      <c r="W80" s="66">
        <f t="shared" si="71"/>
        <v>78647.620379166678</v>
      </c>
      <c r="X80" s="66">
        <f t="shared" si="71"/>
        <v>78647.620379166678</v>
      </c>
      <c r="Y80" s="66">
        <f t="shared" si="71"/>
        <v>78647.620379166678</v>
      </c>
      <c r="Z80" s="66">
        <f t="shared" si="71"/>
        <v>78647.620379166678</v>
      </c>
      <c r="AA80" s="66">
        <f t="shared" si="71"/>
        <v>78647.620379166678</v>
      </c>
      <c r="AB80" s="66">
        <f t="shared" si="71"/>
        <v>78647.620379166678</v>
      </c>
      <c r="AC80" s="66">
        <f t="shared" si="71"/>
        <v>78647.620379166678</v>
      </c>
      <c r="AD80" s="66">
        <f t="shared" si="71"/>
        <v>78647.620379166678</v>
      </c>
      <c r="AE80" s="66">
        <f t="shared" si="71"/>
        <v>120969.70296826102</v>
      </c>
      <c r="AF80" s="66">
        <f t="shared" si="71"/>
        <v>120969.70296826103</v>
      </c>
      <c r="AG80" s="66">
        <f t="shared" si="71"/>
        <v>120969.70296826102</v>
      </c>
      <c r="AH80" s="66">
        <f t="shared" si="71"/>
        <v>120969.70296826102</v>
      </c>
      <c r="AI80" s="66">
        <f t="shared" si="71"/>
        <v>120969.702968261</v>
      </c>
      <c r="AJ80" s="66">
        <f t="shared" si="71"/>
        <v>120969.70296826102</v>
      </c>
      <c r="AK80" s="66">
        <f t="shared" si="71"/>
        <v>120969.70296826103</v>
      </c>
      <c r="AL80" s="66">
        <f t="shared" ref="AL80:BQ80" si="72">SUM(AL58,AL71,AL72,AL74:AL76)</f>
        <v>120969.70296826103</v>
      </c>
      <c r="AM80" s="66">
        <f t="shared" si="72"/>
        <v>120969.70296826103</v>
      </c>
      <c r="AN80" s="66">
        <f t="shared" si="72"/>
        <v>120969.70296826103</v>
      </c>
      <c r="AO80" s="66">
        <f t="shared" si="72"/>
        <v>120969.702968261</v>
      </c>
      <c r="AP80" s="66">
        <f t="shared" si="72"/>
        <v>120969.702968261</v>
      </c>
      <c r="AQ80" s="66">
        <f t="shared" si="72"/>
        <v>133192.06427000853</v>
      </c>
      <c r="AR80" s="66">
        <f t="shared" si="72"/>
        <v>133192.06427000853</v>
      </c>
      <c r="AS80" s="66">
        <f t="shared" si="72"/>
        <v>133192.06427000856</v>
      </c>
      <c r="AT80" s="66">
        <f t="shared" si="72"/>
        <v>133192.06427000853</v>
      </c>
      <c r="AU80" s="66">
        <f t="shared" si="72"/>
        <v>133192.06427000856</v>
      </c>
      <c r="AV80" s="66">
        <f t="shared" si="72"/>
        <v>133192.06427000853</v>
      </c>
      <c r="AW80" s="66">
        <f t="shared" si="72"/>
        <v>133192.06427000856</v>
      </c>
      <c r="AX80" s="66">
        <f t="shared" si="72"/>
        <v>133192.06427000853</v>
      </c>
      <c r="AY80" s="66">
        <f t="shared" si="72"/>
        <v>133192.06427000856</v>
      </c>
      <c r="AZ80" s="66">
        <f t="shared" si="72"/>
        <v>133192.06427000856</v>
      </c>
      <c r="BA80" s="66">
        <f t="shared" si="72"/>
        <v>133192.06427000856</v>
      </c>
      <c r="BB80" s="66">
        <f t="shared" si="72"/>
        <v>133192.06427000853</v>
      </c>
      <c r="BC80" s="66">
        <f t="shared" si="72"/>
        <v>139519.27108268335</v>
      </c>
      <c r="BD80" s="66">
        <f t="shared" si="72"/>
        <v>139519.27108268335</v>
      </c>
      <c r="BE80" s="66">
        <f t="shared" si="72"/>
        <v>139519.27108268335</v>
      </c>
      <c r="BF80" s="66">
        <f t="shared" si="72"/>
        <v>139519.27108268335</v>
      </c>
      <c r="BG80" s="66">
        <f t="shared" si="72"/>
        <v>139519.27108268338</v>
      </c>
      <c r="BH80" s="66">
        <f t="shared" si="72"/>
        <v>139519.27108268335</v>
      </c>
      <c r="BI80" s="66">
        <f t="shared" si="72"/>
        <v>139519.27108268335</v>
      </c>
      <c r="BJ80" s="66">
        <f t="shared" si="72"/>
        <v>139519.27108268335</v>
      </c>
      <c r="BK80" s="66">
        <f t="shared" si="72"/>
        <v>139519.27108268335</v>
      </c>
      <c r="BL80" s="66">
        <f t="shared" si="72"/>
        <v>139519.27108268335</v>
      </c>
      <c r="BM80" s="66">
        <f t="shared" si="72"/>
        <v>139519.27108268338</v>
      </c>
      <c r="BN80" s="66">
        <f t="shared" si="72"/>
        <v>139519.27108268335</v>
      </c>
      <c r="BO80" s="66">
        <f t="shared" si="72"/>
        <v>146039.29409973865</v>
      </c>
      <c r="BP80" s="66">
        <f t="shared" si="72"/>
        <v>146039.29409973862</v>
      </c>
      <c r="BQ80" s="66">
        <f t="shared" si="72"/>
        <v>146039.29409973865</v>
      </c>
      <c r="BR80" s="66">
        <f t="shared" ref="BR80:CK80" si="73">SUM(BR58,BR71,BR72,BR74:BR76)</f>
        <v>146039.29409973862</v>
      </c>
      <c r="BS80" s="66">
        <f t="shared" si="73"/>
        <v>146039.29409973865</v>
      </c>
      <c r="BT80" s="66">
        <f t="shared" si="73"/>
        <v>146039.29409973865</v>
      </c>
      <c r="BU80" s="66">
        <f t="shared" si="73"/>
        <v>146039.29409973862</v>
      </c>
      <c r="BV80" s="66">
        <f t="shared" si="73"/>
        <v>146039.29409973862</v>
      </c>
      <c r="BW80" s="66">
        <f t="shared" si="73"/>
        <v>146039.29409973862</v>
      </c>
      <c r="BX80" s="66">
        <f t="shared" si="73"/>
        <v>146039.29409973865</v>
      </c>
      <c r="BY80" s="66">
        <f t="shared" si="73"/>
        <v>146039.29409973862</v>
      </c>
      <c r="BZ80" s="66">
        <f t="shared" si="73"/>
        <v>146039.29409973862</v>
      </c>
      <c r="CA80" s="66">
        <f t="shared" si="73"/>
        <v>152732.91780730546</v>
      </c>
      <c r="CB80" s="66">
        <f t="shared" si="73"/>
        <v>152732.91780730546</v>
      </c>
      <c r="CC80" s="66">
        <f t="shared" si="73"/>
        <v>152732.91780730546</v>
      </c>
      <c r="CD80" s="66">
        <f t="shared" si="73"/>
        <v>152732.91780730546</v>
      </c>
      <c r="CE80" s="66">
        <f t="shared" si="73"/>
        <v>152732.91780730546</v>
      </c>
      <c r="CF80" s="66">
        <f t="shared" si="73"/>
        <v>152732.91780730544</v>
      </c>
      <c r="CG80" s="66">
        <f t="shared" si="73"/>
        <v>152732.91780730546</v>
      </c>
      <c r="CH80" s="66">
        <f t="shared" si="73"/>
        <v>152732.91780730544</v>
      </c>
      <c r="CI80" s="66">
        <f t="shared" si="73"/>
        <v>152732.91780730544</v>
      </c>
      <c r="CJ80" s="66">
        <f t="shared" si="73"/>
        <v>152732.91780730544</v>
      </c>
      <c r="CK80" s="66">
        <f t="shared" si="73"/>
        <v>152732.91780730544</v>
      </c>
      <c r="CL80" s="66">
        <f>SUM(CL58,CL71,CL72,CL74:CL76)</f>
        <v>39274508.959586829</v>
      </c>
    </row>
    <row r="81" spans="2:90" ht="12.6" customHeight="1" x14ac:dyDescent="0.2">
      <c r="B81" s="116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  <c r="AB81" s="123"/>
      <c r="AC81" s="123"/>
      <c r="AD81" s="123"/>
      <c r="AE81" s="123"/>
      <c r="AF81" s="123"/>
      <c r="AG81" s="123"/>
      <c r="AH81" s="123"/>
      <c r="AI81" s="123"/>
      <c r="AJ81" s="123"/>
      <c r="AK81" s="123"/>
      <c r="AL81" s="123"/>
      <c r="AM81" s="123"/>
      <c r="AN81" s="123"/>
      <c r="AO81" s="123"/>
      <c r="AP81" s="123"/>
      <c r="AQ81" s="123"/>
      <c r="AR81" s="123"/>
      <c r="AS81" s="123"/>
      <c r="AT81" s="123"/>
      <c r="AU81" s="123"/>
      <c r="AV81" s="123"/>
      <c r="AW81" s="123"/>
      <c r="AX81" s="123"/>
      <c r="AY81" s="123"/>
      <c r="AZ81" s="123"/>
      <c r="BA81" s="123"/>
      <c r="BB81" s="123"/>
      <c r="BC81" s="123"/>
      <c r="BD81" s="123"/>
      <c r="BE81" s="123"/>
      <c r="BF81" s="123"/>
      <c r="BG81" s="123"/>
      <c r="BH81" s="123"/>
      <c r="BI81" s="123"/>
      <c r="BJ81" s="123"/>
      <c r="BK81" s="123"/>
      <c r="BL81" s="123"/>
      <c r="BM81" s="123"/>
      <c r="BN81" s="123"/>
      <c r="BO81" s="123"/>
      <c r="BP81" s="123"/>
      <c r="BQ81" s="123"/>
      <c r="BR81" s="123"/>
      <c r="BS81" s="123"/>
      <c r="BT81" s="123"/>
      <c r="BU81" s="123"/>
      <c r="BV81" s="123"/>
      <c r="BW81" s="123"/>
      <c r="BX81" s="123"/>
      <c r="BY81" s="123"/>
      <c r="BZ81" s="123"/>
      <c r="CA81" s="123"/>
      <c r="CB81" s="123"/>
      <c r="CC81" s="123"/>
      <c r="CD81" s="123"/>
      <c r="CE81" s="123"/>
      <c r="CF81" s="123"/>
      <c r="CG81" s="123"/>
      <c r="CH81" s="123"/>
      <c r="CI81" s="123"/>
      <c r="CJ81" s="123"/>
      <c r="CK81" s="123"/>
      <c r="CL81" s="123"/>
    </row>
    <row r="82" spans="2:90" ht="12.6" customHeight="1" x14ac:dyDescent="0.2">
      <c r="B82" s="69" t="s">
        <v>127</v>
      </c>
      <c r="C82" s="42"/>
      <c r="D82" s="70">
        <f>XIRR(F80:CL80,F7:CL7)</f>
        <v>0.33396840691566465</v>
      </c>
    </row>
    <row r="83" spans="2:90" ht="12.6" customHeight="1" x14ac:dyDescent="0.2">
      <c r="B83" s="71" t="s">
        <v>118</v>
      </c>
      <c r="D83" s="72">
        <f>SUM(F80:CL80)</f>
        <v>40259940.34906549</v>
      </c>
    </row>
    <row r="84" spans="2:90" ht="12.6" customHeight="1" x14ac:dyDescent="0.2">
      <c r="B84" s="73" t="s">
        <v>128</v>
      </c>
      <c r="C84" s="74"/>
      <c r="D84" s="75">
        <f>SUMIF(F80:CL80,"&gt;"&amp;0) / -SUMIF(F80:CL80,"&lt;"&amp;0)</f>
        <v>5.7186508421178504</v>
      </c>
    </row>
    <row r="85" spans="2:90" ht="12.6" customHeight="1" x14ac:dyDescent="0.2">
      <c r="B85" s="35"/>
      <c r="D85" s="90"/>
    </row>
    <row r="86" spans="2:90" ht="12.6" customHeight="1" x14ac:dyDescent="0.2">
      <c r="B86" s="76" t="s">
        <v>153</v>
      </c>
      <c r="C86" s="78"/>
      <c r="D86" s="174"/>
    </row>
    <row r="87" spans="2:90" ht="12.6" customHeight="1" x14ac:dyDescent="0.2">
      <c r="B87" s="116" t="s">
        <v>150</v>
      </c>
      <c r="D87" s="90"/>
      <c r="G87" s="123">
        <f>G43/SUM(-$F$56,$G$45)</f>
        <v>5.057141113841113E-3</v>
      </c>
      <c r="H87" s="123">
        <f t="shared" ref="H87:BS87" si="74">H43/SUM(-$F$56,$G$45)</f>
        <v>5.057141113841113E-3</v>
      </c>
      <c r="I87" s="123">
        <f t="shared" si="74"/>
        <v>5.057141113841113E-3</v>
      </c>
      <c r="J87" s="123">
        <f t="shared" si="74"/>
        <v>5.057141113841113E-3</v>
      </c>
      <c r="K87" s="123">
        <f t="shared" si="74"/>
        <v>5.057141113841113E-3</v>
      </c>
      <c r="L87" s="123">
        <f t="shared" si="74"/>
        <v>5.057141113841113E-3</v>
      </c>
      <c r="M87" s="123">
        <f t="shared" si="74"/>
        <v>5.057141113841113E-3</v>
      </c>
      <c r="N87" s="123">
        <f t="shared" si="74"/>
        <v>5.057141113841113E-3</v>
      </c>
      <c r="O87" s="123">
        <f t="shared" si="74"/>
        <v>5.057141113841113E-3</v>
      </c>
      <c r="P87" s="123">
        <f t="shared" si="74"/>
        <v>5.057141113841113E-3</v>
      </c>
      <c r="Q87" s="123">
        <f t="shared" si="74"/>
        <v>5.057141113841113E-3</v>
      </c>
      <c r="R87" s="123">
        <f t="shared" si="74"/>
        <v>5.057141113841113E-3</v>
      </c>
      <c r="S87" s="123">
        <f t="shared" si="74"/>
        <v>7.0588511242833749E-3</v>
      </c>
      <c r="T87" s="123">
        <f t="shared" si="74"/>
        <v>7.0588511242833749E-3</v>
      </c>
      <c r="U87" s="123">
        <f t="shared" si="74"/>
        <v>7.0588511242833749E-3</v>
      </c>
      <c r="V87" s="123">
        <f t="shared" si="74"/>
        <v>7.0588511242833749E-3</v>
      </c>
      <c r="W87" s="123">
        <f t="shared" si="74"/>
        <v>7.0588511242833749E-3</v>
      </c>
      <c r="X87" s="123">
        <f t="shared" si="74"/>
        <v>7.0588511242833749E-3</v>
      </c>
      <c r="Y87" s="123">
        <f t="shared" si="74"/>
        <v>7.0588511242833749E-3</v>
      </c>
      <c r="Z87" s="123">
        <f t="shared" si="74"/>
        <v>7.0588511242833749E-3</v>
      </c>
      <c r="AA87" s="123">
        <f t="shared" si="74"/>
        <v>7.0588511242833749E-3</v>
      </c>
      <c r="AB87" s="123">
        <f t="shared" si="74"/>
        <v>7.0588511242833749E-3</v>
      </c>
      <c r="AC87" s="123">
        <f t="shared" si="74"/>
        <v>7.0588511242833749E-3</v>
      </c>
      <c r="AD87" s="123">
        <f t="shared" si="74"/>
        <v>7.0588511242833749E-3</v>
      </c>
      <c r="AE87" s="123">
        <f t="shared" si="74"/>
        <v>9.671639596433251E-3</v>
      </c>
      <c r="AF87" s="123">
        <f t="shared" si="74"/>
        <v>9.671639596433251E-3</v>
      </c>
      <c r="AG87" s="123">
        <f t="shared" si="74"/>
        <v>9.671639596433251E-3</v>
      </c>
      <c r="AH87" s="123">
        <f t="shared" si="74"/>
        <v>9.671639596433251E-3</v>
      </c>
      <c r="AI87" s="123">
        <f t="shared" si="74"/>
        <v>9.671639596433251E-3</v>
      </c>
      <c r="AJ87" s="123">
        <f t="shared" si="74"/>
        <v>9.671639596433251E-3</v>
      </c>
      <c r="AK87" s="123">
        <f t="shared" si="74"/>
        <v>9.671639596433251E-3</v>
      </c>
      <c r="AL87" s="123">
        <f t="shared" si="74"/>
        <v>9.671639596433251E-3</v>
      </c>
      <c r="AM87" s="123">
        <f t="shared" si="74"/>
        <v>9.671639596433251E-3</v>
      </c>
      <c r="AN87" s="123">
        <f t="shared" si="74"/>
        <v>9.671639596433251E-3</v>
      </c>
      <c r="AO87" s="123">
        <f t="shared" si="74"/>
        <v>9.671639596433251E-3</v>
      </c>
      <c r="AP87" s="123">
        <f t="shared" si="74"/>
        <v>9.671639596433251E-3</v>
      </c>
      <c r="AQ87" s="123">
        <f t="shared" si="74"/>
        <v>1.027224703140856E-2</v>
      </c>
      <c r="AR87" s="123">
        <f t="shared" si="74"/>
        <v>1.027224703140856E-2</v>
      </c>
      <c r="AS87" s="123">
        <f t="shared" si="74"/>
        <v>1.027224703140856E-2</v>
      </c>
      <c r="AT87" s="123">
        <f t="shared" si="74"/>
        <v>1.027224703140856E-2</v>
      </c>
      <c r="AU87" s="123">
        <f t="shared" si="74"/>
        <v>1.027224703140856E-2</v>
      </c>
      <c r="AV87" s="123">
        <f t="shared" si="74"/>
        <v>1.027224703140856E-2</v>
      </c>
      <c r="AW87" s="123">
        <f t="shared" si="74"/>
        <v>1.027224703140856E-2</v>
      </c>
      <c r="AX87" s="123">
        <f t="shared" si="74"/>
        <v>1.027224703140856E-2</v>
      </c>
      <c r="AY87" s="123">
        <f t="shared" si="74"/>
        <v>1.027224703140856E-2</v>
      </c>
      <c r="AZ87" s="123">
        <f t="shared" si="74"/>
        <v>1.027224703140856E-2</v>
      </c>
      <c r="BA87" s="123">
        <f t="shared" si="74"/>
        <v>1.027224703140856E-2</v>
      </c>
      <c r="BB87" s="123">
        <f t="shared" si="74"/>
        <v>1.027224703140856E-2</v>
      </c>
      <c r="BC87" s="123">
        <f t="shared" si="74"/>
        <v>1.0583166285102655E-2</v>
      </c>
      <c r="BD87" s="123">
        <f t="shared" si="74"/>
        <v>1.0583166285102655E-2</v>
      </c>
      <c r="BE87" s="123">
        <f t="shared" si="74"/>
        <v>1.0583166285102655E-2</v>
      </c>
      <c r="BF87" s="123">
        <f t="shared" si="74"/>
        <v>1.0583166285102655E-2</v>
      </c>
      <c r="BG87" s="123">
        <f t="shared" si="74"/>
        <v>1.0583166285102655E-2</v>
      </c>
      <c r="BH87" s="123">
        <f t="shared" si="74"/>
        <v>1.0583166285102655E-2</v>
      </c>
      <c r="BI87" s="123">
        <f t="shared" si="74"/>
        <v>1.0583166285102655E-2</v>
      </c>
      <c r="BJ87" s="123">
        <f t="shared" si="74"/>
        <v>1.0583166285102655E-2</v>
      </c>
      <c r="BK87" s="123">
        <f t="shared" si="74"/>
        <v>1.0583166285102655E-2</v>
      </c>
      <c r="BL87" s="123">
        <f t="shared" si="74"/>
        <v>1.0583166285102655E-2</v>
      </c>
      <c r="BM87" s="123">
        <f t="shared" si="74"/>
        <v>1.0583166285102655E-2</v>
      </c>
      <c r="BN87" s="123">
        <f t="shared" si="74"/>
        <v>1.0583166285102655E-2</v>
      </c>
      <c r="BO87" s="123">
        <f t="shared" si="74"/>
        <v>1.0903560536555001E-2</v>
      </c>
      <c r="BP87" s="123">
        <f t="shared" si="74"/>
        <v>1.0903560536555001E-2</v>
      </c>
      <c r="BQ87" s="123">
        <f t="shared" si="74"/>
        <v>1.0903560536555001E-2</v>
      </c>
      <c r="BR87" s="123">
        <f t="shared" si="74"/>
        <v>1.0903560536555001E-2</v>
      </c>
      <c r="BS87" s="123">
        <f t="shared" si="74"/>
        <v>1.0903560536555001E-2</v>
      </c>
      <c r="BT87" s="123">
        <f t="shared" ref="BT87:CL87" si="75">BT43/SUM(-$F$56,$G$45)</f>
        <v>1.0903560536555001E-2</v>
      </c>
      <c r="BU87" s="123">
        <f t="shared" si="75"/>
        <v>1.0903560536555001E-2</v>
      </c>
      <c r="BV87" s="123">
        <f t="shared" si="75"/>
        <v>1.0903560536555001E-2</v>
      </c>
      <c r="BW87" s="123">
        <f t="shared" si="75"/>
        <v>1.0903560536555001E-2</v>
      </c>
      <c r="BX87" s="123">
        <f t="shared" si="75"/>
        <v>1.0903560536555001E-2</v>
      </c>
      <c r="BY87" s="123">
        <f t="shared" si="75"/>
        <v>1.0903560536555001E-2</v>
      </c>
      <c r="BZ87" s="123">
        <f t="shared" si="75"/>
        <v>1.0903560536555001E-2</v>
      </c>
      <c r="CA87" s="123">
        <f t="shared" si="75"/>
        <v>1.1232485534469833E-2</v>
      </c>
      <c r="CB87" s="123">
        <f t="shared" si="75"/>
        <v>1.1232485534469833E-2</v>
      </c>
      <c r="CC87" s="123">
        <f t="shared" si="75"/>
        <v>1.1232485534469833E-2</v>
      </c>
      <c r="CD87" s="123">
        <f t="shared" si="75"/>
        <v>1.1232485534469833E-2</v>
      </c>
      <c r="CE87" s="123">
        <f t="shared" si="75"/>
        <v>1.1232485534469833E-2</v>
      </c>
      <c r="CF87" s="123">
        <f t="shared" si="75"/>
        <v>1.1232485534469833E-2</v>
      </c>
      <c r="CG87" s="123">
        <f t="shared" si="75"/>
        <v>1.1232485534469833E-2</v>
      </c>
      <c r="CH87" s="123">
        <f t="shared" si="75"/>
        <v>1.1232485534469833E-2</v>
      </c>
      <c r="CI87" s="123">
        <f t="shared" si="75"/>
        <v>1.1232485534469833E-2</v>
      </c>
      <c r="CJ87" s="123">
        <f t="shared" si="75"/>
        <v>1.1232485534469833E-2</v>
      </c>
      <c r="CK87" s="123">
        <f t="shared" si="75"/>
        <v>1.1232485534469833E-2</v>
      </c>
      <c r="CL87" s="123">
        <f t="shared" si="75"/>
        <v>1.1232485534469833E-2</v>
      </c>
    </row>
    <row r="88" spans="2:90" ht="12.6" customHeight="1" x14ac:dyDescent="0.2">
      <c r="B88" s="116" t="s">
        <v>151</v>
      </c>
      <c r="D88" s="90"/>
      <c r="G88" s="123">
        <f>G58/-$F$58</f>
        <v>2.5937657679738556E-3</v>
      </c>
      <c r="H88" s="123">
        <f t="shared" ref="H88:BS88" si="76">H58/-$F$58</f>
        <v>5.0447461601307187E-3</v>
      </c>
      <c r="I88" s="123">
        <f t="shared" si="76"/>
        <v>5.0447461601307187E-3</v>
      </c>
      <c r="J88" s="123">
        <f t="shared" si="76"/>
        <v>5.0447461601307187E-3</v>
      </c>
      <c r="K88" s="123">
        <f t="shared" si="76"/>
        <v>5.0447461601307187E-3</v>
      </c>
      <c r="L88" s="123">
        <f t="shared" si="76"/>
        <v>5.0447461601307187E-3</v>
      </c>
      <c r="M88" s="123">
        <f t="shared" si="76"/>
        <v>5.0447461601307187E-3</v>
      </c>
      <c r="N88" s="123">
        <f t="shared" si="76"/>
        <v>5.0447461601307187E-3</v>
      </c>
      <c r="O88" s="123">
        <f t="shared" si="76"/>
        <v>5.0447461601307187E-3</v>
      </c>
      <c r="P88" s="123">
        <f t="shared" si="76"/>
        <v>5.0447461601307187E-3</v>
      </c>
      <c r="Q88" s="123">
        <f t="shared" si="76"/>
        <v>5.0447461601307187E-3</v>
      </c>
      <c r="R88" s="123">
        <f t="shared" si="76"/>
        <v>5.0447461601307187E-3</v>
      </c>
      <c r="S88" s="123">
        <f t="shared" si="76"/>
        <v>7.0415500185866016E-3</v>
      </c>
      <c r="T88" s="123">
        <f t="shared" si="76"/>
        <v>7.0415500185866016E-3</v>
      </c>
      <c r="U88" s="123">
        <f t="shared" si="76"/>
        <v>7.0415500185866016E-3</v>
      </c>
      <c r="V88" s="123">
        <f t="shared" si="76"/>
        <v>7.0415500185866016E-3</v>
      </c>
      <c r="W88" s="123">
        <f t="shared" si="76"/>
        <v>7.0415500185866016E-3</v>
      </c>
      <c r="X88" s="123">
        <f t="shared" si="76"/>
        <v>7.0415500185866016E-3</v>
      </c>
      <c r="Y88" s="123">
        <f t="shared" si="76"/>
        <v>7.0415500185866016E-3</v>
      </c>
      <c r="Z88" s="123">
        <f t="shared" si="76"/>
        <v>7.0415500185866016E-3</v>
      </c>
      <c r="AA88" s="123">
        <f t="shared" si="76"/>
        <v>7.0415500185866016E-3</v>
      </c>
      <c r="AB88" s="123">
        <f t="shared" si="76"/>
        <v>7.0415500185866016E-3</v>
      </c>
      <c r="AC88" s="123">
        <f t="shared" si="76"/>
        <v>7.0415500185866016E-3</v>
      </c>
      <c r="AD88" s="123">
        <f t="shared" si="76"/>
        <v>7.0415500185866016E-3</v>
      </c>
      <c r="AE88" s="123">
        <f t="shared" si="76"/>
        <v>9.6479345974223862E-3</v>
      </c>
      <c r="AF88" s="123">
        <f t="shared" si="76"/>
        <v>9.6479345974223862E-3</v>
      </c>
      <c r="AG88" s="123">
        <f t="shared" si="76"/>
        <v>9.6479345974223862E-3</v>
      </c>
      <c r="AH88" s="123">
        <f t="shared" si="76"/>
        <v>9.6479345974223862E-3</v>
      </c>
      <c r="AI88" s="123">
        <f t="shared" si="76"/>
        <v>9.6479345974223862E-3</v>
      </c>
      <c r="AJ88" s="123">
        <f t="shared" si="76"/>
        <v>9.6479345974223862E-3</v>
      </c>
      <c r="AK88" s="123">
        <f t="shared" si="76"/>
        <v>9.6479345974223862E-3</v>
      </c>
      <c r="AL88" s="123">
        <f t="shared" si="76"/>
        <v>9.6479345974223862E-3</v>
      </c>
      <c r="AM88" s="123">
        <f t="shared" si="76"/>
        <v>9.6479345974223862E-3</v>
      </c>
      <c r="AN88" s="123">
        <f t="shared" si="76"/>
        <v>9.6479345974223862E-3</v>
      </c>
      <c r="AO88" s="123">
        <f t="shared" si="76"/>
        <v>9.6479345974223862E-3</v>
      </c>
      <c r="AP88" s="123">
        <f t="shared" si="76"/>
        <v>9.6479345974223862E-3</v>
      </c>
      <c r="AQ88" s="123">
        <f t="shared" si="76"/>
        <v>1.0247069955351186E-2</v>
      </c>
      <c r="AR88" s="123">
        <f t="shared" si="76"/>
        <v>1.0247069955351186E-2</v>
      </c>
      <c r="AS88" s="123">
        <f t="shared" si="76"/>
        <v>1.0247069955351186E-2</v>
      </c>
      <c r="AT88" s="123">
        <f t="shared" si="76"/>
        <v>1.0247069955351186E-2</v>
      </c>
      <c r="AU88" s="123">
        <f t="shared" si="76"/>
        <v>1.0247069955351186E-2</v>
      </c>
      <c r="AV88" s="123">
        <f t="shared" si="76"/>
        <v>1.0247069955351186E-2</v>
      </c>
      <c r="AW88" s="123">
        <f t="shared" si="76"/>
        <v>1.0247069955351186E-2</v>
      </c>
      <c r="AX88" s="123">
        <f t="shared" si="76"/>
        <v>1.0247069955351186E-2</v>
      </c>
      <c r="AY88" s="123">
        <f t="shared" si="76"/>
        <v>1.0247069955351186E-2</v>
      </c>
      <c r="AZ88" s="123">
        <f t="shared" si="76"/>
        <v>1.0247069955351186E-2</v>
      </c>
      <c r="BA88" s="123">
        <f t="shared" si="76"/>
        <v>1.0247069955351186E-2</v>
      </c>
      <c r="BB88" s="123">
        <f t="shared" si="76"/>
        <v>1.0247069955351186E-2</v>
      </c>
      <c r="BC88" s="123">
        <f t="shared" si="76"/>
        <v>1.0557227152050931E-2</v>
      </c>
      <c r="BD88" s="123">
        <f t="shared" si="76"/>
        <v>1.0557227152050931E-2</v>
      </c>
      <c r="BE88" s="123">
        <f t="shared" si="76"/>
        <v>1.0557227152050931E-2</v>
      </c>
      <c r="BF88" s="123">
        <f t="shared" si="76"/>
        <v>1.0557227152050931E-2</v>
      </c>
      <c r="BG88" s="123">
        <f t="shared" si="76"/>
        <v>1.0557227152050931E-2</v>
      </c>
      <c r="BH88" s="123">
        <f t="shared" si="76"/>
        <v>1.0557227152050931E-2</v>
      </c>
      <c r="BI88" s="123">
        <f t="shared" si="76"/>
        <v>1.0557227152050931E-2</v>
      </c>
      <c r="BJ88" s="123">
        <f t="shared" si="76"/>
        <v>1.0557227152050931E-2</v>
      </c>
      <c r="BK88" s="123">
        <f t="shared" si="76"/>
        <v>1.0557227152050931E-2</v>
      </c>
      <c r="BL88" s="123">
        <f t="shared" si="76"/>
        <v>1.0557227152050931E-2</v>
      </c>
      <c r="BM88" s="123">
        <f t="shared" si="76"/>
        <v>1.0557227152050931E-2</v>
      </c>
      <c r="BN88" s="123">
        <f t="shared" si="76"/>
        <v>1.0557227152050931E-2</v>
      </c>
      <c r="BO88" s="123">
        <f t="shared" si="76"/>
        <v>1.087683612347521E-2</v>
      </c>
      <c r="BP88" s="123">
        <f t="shared" si="76"/>
        <v>1.087683612347521E-2</v>
      </c>
      <c r="BQ88" s="123">
        <f t="shared" si="76"/>
        <v>1.087683612347521E-2</v>
      </c>
      <c r="BR88" s="123">
        <f t="shared" si="76"/>
        <v>1.087683612347521E-2</v>
      </c>
      <c r="BS88" s="123">
        <f t="shared" si="76"/>
        <v>1.087683612347521E-2</v>
      </c>
      <c r="BT88" s="123">
        <f t="shared" ref="BT88:CL88" si="77">BT58/-$F$58</f>
        <v>1.087683612347521E-2</v>
      </c>
      <c r="BU88" s="123">
        <f t="shared" si="77"/>
        <v>1.087683612347521E-2</v>
      </c>
      <c r="BV88" s="123">
        <f t="shared" si="77"/>
        <v>1.087683612347521E-2</v>
      </c>
      <c r="BW88" s="123">
        <f t="shared" si="77"/>
        <v>1.087683612347521E-2</v>
      </c>
      <c r="BX88" s="123">
        <f t="shared" si="77"/>
        <v>1.087683612347521E-2</v>
      </c>
      <c r="BY88" s="123">
        <f t="shared" si="77"/>
        <v>1.087683612347521E-2</v>
      </c>
      <c r="BZ88" s="123">
        <f t="shared" si="77"/>
        <v>1.087683612347521E-2</v>
      </c>
      <c r="CA88" s="123">
        <f t="shared" si="77"/>
        <v>1.1204954932669662E-2</v>
      </c>
      <c r="CB88" s="123">
        <f t="shared" si="77"/>
        <v>1.1204954932669662E-2</v>
      </c>
      <c r="CC88" s="123">
        <f t="shared" si="77"/>
        <v>1.1204954932669662E-2</v>
      </c>
      <c r="CD88" s="123">
        <f t="shared" si="77"/>
        <v>1.1204954932669662E-2</v>
      </c>
      <c r="CE88" s="123">
        <f t="shared" si="77"/>
        <v>1.1204954932669662E-2</v>
      </c>
      <c r="CF88" s="123">
        <f t="shared" si="77"/>
        <v>1.1204954932669662E-2</v>
      </c>
      <c r="CG88" s="123">
        <f t="shared" si="77"/>
        <v>1.1204954932669662E-2</v>
      </c>
      <c r="CH88" s="123">
        <f t="shared" si="77"/>
        <v>1.1204954932669662E-2</v>
      </c>
      <c r="CI88" s="123">
        <f t="shared" si="77"/>
        <v>1.1204954932669662E-2</v>
      </c>
      <c r="CJ88" s="123">
        <f t="shared" si="77"/>
        <v>1.1204954932669662E-2</v>
      </c>
      <c r="CK88" s="123">
        <f t="shared" si="77"/>
        <v>1.1204954932669662E-2</v>
      </c>
      <c r="CL88" s="123">
        <f t="shared" si="77"/>
        <v>2.4795918831075321</v>
      </c>
    </row>
    <row r="89" spans="2:90" ht="12.6" customHeight="1" x14ac:dyDescent="0.2">
      <c r="B89" s="116" t="s">
        <v>152</v>
      </c>
      <c r="D89" s="90"/>
      <c r="G89" s="123">
        <f>G80/$D$95</f>
        <v>-1.8538617075664638E-3</v>
      </c>
      <c r="H89" s="123">
        <f t="shared" ref="H89:BS89" si="78">H80/$D$95</f>
        <v>5.814849948875254E-3</v>
      </c>
      <c r="I89" s="123">
        <f t="shared" si="78"/>
        <v>5.814849948875254E-3</v>
      </c>
      <c r="J89" s="123">
        <f t="shared" si="78"/>
        <v>5.814849948875254E-3</v>
      </c>
      <c r="K89" s="123">
        <f t="shared" si="78"/>
        <v>5.814849948875254E-3</v>
      </c>
      <c r="L89" s="123">
        <f t="shared" si="78"/>
        <v>5.814849948875254E-3</v>
      </c>
      <c r="M89" s="123">
        <f t="shared" si="78"/>
        <v>5.814849948875254E-3</v>
      </c>
      <c r="N89" s="123">
        <f t="shared" si="78"/>
        <v>5.814849948875254E-3</v>
      </c>
      <c r="O89" s="123">
        <f t="shared" si="78"/>
        <v>5.814849948875254E-3</v>
      </c>
      <c r="P89" s="123">
        <f t="shared" si="78"/>
        <v>5.814849948875254E-3</v>
      </c>
      <c r="Q89" s="123">
        <f t="shared" si="78"/>
        <v>5.814849948875254E-3</v>
      </c>
      <c r="R89" s="123">
        <f t="shared" si="78"/>
        <v>5.814849948875254E-3</v>
      </c>
      <c r="S89" s="123">
        <f t="shared" si="78"/>
        <v>1.2062518463062374E-2</v>
      </c>
      <c r="T89" s="123">
        <f t="shared" si="78"/>
        <v>1.2062518463062374E-2</v>
      </c>
      <c r="U89" s="123">
        <f t="shared" si="78"/>
        <v>1.2062518463062374E-2</v>
      </c>
      <c r="V89" s="123">
        <f t="shared" si="78"/>
        <v>1.2062518463062374E-2</v>
      </c>
      <c r="W89" s="123">
        <f t="shared" si="78"/>
        <v>1.2062518463062374E-2</v>
      </c>
      <c r="X89" s="123">
        <f t="shared" si="78"/>
        <v>1.2062518463062374E-2</v>
      </c>
      <c r="Y89" s="123">
        <f t="shared" si="78"/>
        <v>1.2062518463062374E-2</v>
      </c>
      <c r="Z89" s="123">
        <f t="shared" si="78"/>
        <v>1.2062518463062374E-2</v>
      </c>
      <c r="AA89" s="123">
        <f t="shared" si="78"/>
        <v>1.2062518463062374E-2</v>
      </c>
      <c r="AB89" s="123">
        <f t="shared" si="78"/>
        <v>1.2062518463062374E-2</v>
      </c>
      <c r="AC89" s="123">
        <f t="shared" si="78"/>
        <v>1.2062518463062374E-2</v>
      </c>
      <c r="AD89" s="123">
        <f t="shared" si="78"/>
        <v>1.2062518463062374E-2</v>
      </c>
      <c r="AE89" s="123">
        <f t="shared" si="78"/>
        <v>1.8553635424579912E-2</v>
      </c>
      <c r="AF89" s="123">
        <f t="shared" si="78"/>
        <v>1.8553635424579912E-2</v>
      </c>
      <c r="AG89" s="123">
        <f t="shared" si="78"/>
        <v>1.8553635424579912E-2</v>
      </c>
      <c r="AH89" s="123">
        <f t="shared" si="78"/>
        <v>1.8553635424579912E-2</v>
      </c>
      <c r="AI89" s="123">
        <f t="shared" si="78"/>
        <v>1.8553635424579908E-2</v>
      </c>
      <c r="AJ89" s="123">
        <f t="shared" si="78"/>
        <v>1.8553635424579912E-2</v>
      </c>
      <c r="AK89" s="123">
        <f t="shared" si="78"/>
        <v>1.8553635424579912E-2</v>
      </c>
      <c r="AL89" s="123">
        <f t="shared" si="78"/>
        <v>1.8553635424579912E-2</v>
      </c>
      <c r="AM89" s="123">
        <f t="shared" si="78"/>
        <v>1.8553635424579912E-2</v>
      </c>
      <c r="AN89" s="123">
        <f t="shared" si="78"/>
        <v>1.8553635424579912E-2</v>
      </c>
      <c r="AO89" s="123">
        <f t="shared" si="78"/>
        <v>1.8553635424579908E-2</v>
      </c>
      <c r="AP89" s="123">
        <f t="shared" si="78"/>
        <v>1.8553635424579908E-2</v>
      </c>
      <c r="AQ89" s="123">
        <f t="shared" si="78"/>
        <v>2.0428230716258978E-2</v>
      </c>
      <c r="AR89" s="123">
        <f t="shared" si="78"/>
        <v>2.0428230716258978E-2</v>
      </c>
      <c r="AS89" s="123">
        <f t="shared" si="78"/>
        <v>2.0428230716258981E-2</v>
      </c>
      <c r="AT89" s="123">
        <f t="shared" si="78"/>
        <v>2.0428230716258978E-2</v>
      </c>
      <c r="AU89" s="123">
        <f t="shared" si="78"/>
        <v>2.0428230716258981E-2</v>
      </c>
      <c r="AV89" s="123">
        <f t="shared" si="78"/>
        <v>2.0428230716258978E-2</v>
      </c>
      <c r="AW89" s="123">
        <f t="shared" si="78"/>
        <v>2.0428230716258981E-2</v>
      </c>
      <c r="AX89" s="123">
        <f t="shared" si="78"/>
        <v>2.0428230716258978E-2</v>
      </c>
      <c r="AY89" s="123">
        <f t="shared" si="78"/>
        <v>2.0428230716258981E-2</v>
      </c>
      <c r="AZ89" s="123">
        <f t="shared" si="78"/>
        <v>2.0428230716258981E-2</v>
      </c>
      <c r="BA89" s="123">
        <f t="shared" si="78"/>
        <v>2.0428230716258981E-2</v>
      </c>
      <c r="BB89" s="123">
        <f t="shared" si="78"/>
        <v>2.0428230716258978E-2</v>
      </c>
      <c r="BC89" s="123">
        <f t="shared" si="78"/>
        <v>2.1398661209000514E-2</v>
      </c>
      <c r="BD89" s="123">
        <f t="shared" si="78"/>
        <v>2.1398661209000514E-2</v>
      </c>
      <c r="BE89" s="123">
        <f t="shared" si="78"/>
        <v>2.1398661209000514E-2</v>
      </c>
      <c r="BF89" s="123">
        <f t="shared" si="78"/>
        <v>2.1398661209000514E-2</v>
      </c>
      <c r="BG89" s="123">
        <f t="shared" si="78"/>
        <v>2.1398661209000518E-2</v>
      </c>
      <c r="BH89" s="123">
        <f t="shared" si="78"/>
        <v>2.1398661209000514E-2</v>
      </c>
      <c r="BI89" s="123">
        <f t="shared" si="78"/>
        <v>2.1398661209000514E-2</v>
      </c>
      <c r="BJ89" s="123">
        <f t="shared" si="78"/>
        <v>2.1398661209000514E-2</v>
      </c>
      <c r="BK89" s="123">
        <f t="shared" si="78"/>
        <v>2.1398661209000514E-2</v>
      </c>
      <c r="BL89" s="123">
        <f t="shared" si="78"/>
        <v>2.1398661209000514E-2</v>
      </c>
      <c r="BM89" s="123">
        <f t="shared" si="78"/>
        <v>2.1398661209000518E-2</v>
      </c>
      <c r="BN89" s="123">
        <f t="shared" si="78"/>
        <v>2.1398661209000514E-2</v>
      </c>
      <c r="BO89" s="123">
        <f t="shared" si="78"/>
        <v>2.2398664739223719E-2</v>
      </c>
      <c r="BP89" s="123">
        <f t="shared" si="78"/>
        <v>2.2398664739223716E-2</v>
      </c>
      <c r="BQ89" s="123">
        <f t="shared" si="78"/>
        <v>2.2398664739223719E-2</v>
      </c>
      <c r="BR89" s="123">
        <f t="shared" si="78"/>
        <v>2.2398664739223716E-2</v>
      </c>
      <c r="BS89" s="123">
        <f t="shared" si="78"/>
        <v>2.2398664739223719E-2</v>
      </c>
      <c r="BT89" s="123">
        <f t="shared" ref="BT89:CL89" si="79">BT80/$D$95</f>
        <v>2.2398664739223719E-2</v>
      </c>
      <c r="BU89" s="123">
        <f t="shared" si="79"/>
        <v>2.2398664739223716E-2</v>
      </c>
      <c r="BV89" s="123">
        <f t="shared" si="79"/>
        <v>2.2398664739223716E-2</v>
      </c>
      <c r="BW89" s="123">
        <f t="shared" si="79"/>
        <v>2.2398664739223716E-2</v>
      </c>
      <c r="BX89" s="123">
        <f t="shared" si="79"/>
        <v>2.2398664739223719E-2</v>
      </c>
      <c r="BY89" s="123">
        <f t="shared" si="79"/>
        <v>2.2398664739223716E-2</v>
      </c>
      <c r="BZ89" s="123">
        <f t="shared" si="79"/>
        <v>2.2398664739223716E-2</v>
      </c>
      <c r="CA89" s="123">
        <f t="shared" si="79"/>
        <v>2.3425294142224766E-2</v>
      </c>
      <c r="CB89" s="123">
        <f t="shared" si="79"/>
        <v>2.3425294142224766E-2</v>
      </c>
      <c r="CC89" s="123">
        <f t="shared" si="79"/>
        <v>2.3425294142224766E-2</v>
      </c>
      <c r="CD89" s="123">
        <f t="shared" si="79"/>
        <v>2.3425294142224766E-2</v>
      </c>
      <c r="CE89" s="123">
        <f t="shared" si="79"/>
        <v>2.3425294142224766E-2</v>
      </c>
      <c r="CF89" s="123">
        <f t="shared" si="79"/>
        <v>2.3425294142224759E-2</v>
      </c>
      <c r="CG89" s="123">
        <f t="shared" si="79"/>
        <v>2.3425294142224766E-2</v>
      </c>
      <c r="CH89" s="123">
        <f t="shared" si="79"/>
        <v>2.3425294142224759E-2</v>
      </c>
      <c r="CI89" s="123">
        <f t="shared" si="79"/>
        <v>2.3425294142224759E-2</v>
      </c>
      <c r="CJ89" s="123">
        <f t="shared" si="79"/>
        <v>2.3425294142224759E-2</v>
      </c>
      <c r="CK89" s="123">
        <f t="shared" si="79"/>
        <v>2.3425294142224759E-2</v>
      </c>
      <c r="CL89" s="123">
        <f t="shared" si="79"/>
        <v>6.0236976931881641</v>
      </c>
    </row>
    <row r="90" spans="2:90" ht="12.6" customHeight="1" x14ac:dyDescent="0.2">
      <c r="B90" s="35"/>
      <c r="D90" s="90"/>
    </row>
    <row r="91" spans="2:90" ht="12.6" customHeight="1" x14ac:dyDescent="0.2">
      <c r="B91" s="35"/>
      <c r="D91" s="90"/>
    </row>
    <row r="92" spans="2:90" ht="12.6" customHeight="1" x14ac:dyDescent="0.2">
      <c r="B92" s="76" t="s">
        <v>158</v>
      </c>
      <c r="C92" s="78"/>
      <c r="D92" s="174"/>
    </row>
    <row r="93" spans="2:90" ht="12.6" customHeight="1" x14ac:dyDescent="0.2">
      <c r="B93" s="35" t="s">
        <v>148</v>
      </c>
      <c r="D93" s="120">
        <f>Assumptions!$H$35</f>
        <v>2000000</v>
      </c>
      <c r="F93" s="57">
        <f>Assumptions!$H$35</f>
        <v>2000000</v>
      </c>
    </row>
    <row r="94" spans="2:90" ht="12.6" customHeight="1" x14ac:dyDescent="0.2">
      <c r="B94" s="35" t="s">
        <v>59</v>
      </c>
      <c r="D94" s="121">
        <f>Assumptions!$H$36</f>
        <v>0.09</v>
      </c>
      <c r="F94" s="57"/>
      <c r="G94" s="57">
        <f>$F$93*$D$94/12</f>
        <v>15000</v>
      </c>
      <c r="H94" s="57">
        <f t="shared" ref="H94:BR94" si="80">$F$93*$D$94/12</f>
        <v>15000</v>
      </c>
      <c r="I94" s="57">
        <f t="shared" si="80"/>
        <v>15000</v>
      </c>
      <c r="J94" s="57">
        <f t="shared" si="80"/>
        <v>15000</v>
      </c>
      <c r="K94" s="57">
        <f t="shared" si="80"/>
        <v>15000</v>
      </c>
      <c r="L94" s="57">
        <f t="shared" si="80"/>
        <v>15000</v>
      </c>
      <c r="M94" s="57">
        <f t="shared" si="80"/>
        <v>15000</v>
      </c>
      <c r="N94" s="57">
        <f t="shared" si="80"/>
        <v>15000</v>
      </c>
      <c r="O94" s="57">
        <f t="shared" si="80"/>
        <v>15000</v>
      </c>
      <c r="P94" s="57">
        <f t="shared" si="80"/>
        <v>15000</v>
      </c>
      <c r="Q94" s="57">
        <f t="shared" si="80"/>
        <v>15000</v>
      </c>
      <c r="R94" s="57">
        <f t="shared" si="80"/>
        <v>15000</v>
      </c>
      <c r="S94" s="57">
        <f t="shared" si="80"/>
        <v>15000</v>
      </c>
      <c r="T94" s="57">
        <f t="shared" si="80"/>
        <v>15000</v>
      </c>
      <c r="U94" s="57">
        <f t="shared" si="80"/>
        <v>15000</v>
      </c>
      <c r="V94" s="57">
        <f t="shared" si="80"/>
        <v>15000</v>
      </c>
      <c r="W94" s="57">
        <f t="shared" si="80"/>
        <v>15000</v>
      </c>
      <c r="X94" s="57">
        <f t="shared" si="80"/>
        <v>15000</v>
      </c>
      <c r="Y94" s="57">
        <f t="shared" si="80"/>
        <v>15000</v>
      </c>
      <c r="Z94" s="57">
        <f t="shared" si="80"/>
        <v>15000</v>
      </c>
      <c r="AA94" s="57">
        <f t="shared" si="80"/>
        <v>15000</v>
      </c>
      <c r="AB94" s="57">
        <f t="shared" si="80"/>
        <v>15000</v>
      </c>
      <c r="AC94" s="57">
        <f t="shared" si="80"/>
        <v>15000</v>
      </c>
      <c r="AD94" s="57">
        <f t="shared" si="80"/>
        <v>15000</v>
      </c>
      <c r="AE94" s="57">
        <f t="shared" si="80"/>
        <v>15000</v>
      </c>
      <c r="AF94" s="57">
        <f t="shared" si="80"/>
        <v>15000</v>
      </c>
      <c r="AG94" s="57">
        <f t="shared" si="80"/>
        <v>15000</v>
      </c>
      <c r="AH94" s="57">
        <f t="shared" si="80"/>
        <v>15000</v>
      </c>
      <c r="AI94" s="57">
        <f t="shared" si="80"/>
        <v>15000</v>
      </c>
      <c r="AJ94" s="57">
        <f t="shared" si="80"/>
        <v>15000</v>
      </c>
      <c r="AK94" s="57">
        <f t="shared" si="80"/>
        <v>15000</v>
      </c>
      <c r="AL94" s="57">
        <f t="shared" si="80"/>
        <v>15000</v>
      </c>
      <c r="AM94" s="57">
        <f t="shared" si="80"/>
        <v>15000</v>
      </c>
      <c r="AN94" s="57">
        <f t="shared" si="80"/>
        <v>15000</v>
      </c>
      <c r="AO94" s="57">
        <f t="shared" si="80"/>
        <v>15000</v>
      </c>
      <c r="AP94" s="57">
        <f t="shared" si="80"/>
        <v>15000</v>
      </c>
      <c r="AQ94" s="57">
        <f t="shared" si="80"/>
        <v>15000</v>
      </c>
      <c r="AR94" s="57">
        <f t="shared" si="80"/>
        <v>15000</v>
      </c>
      <c r="AS94" s="57">
        <f t="shared" si="80"/>
        <v>15000</v>
      </c>
      <c r="AT94" s="57">
        <f t="shared" si="80"/>
        <v>15000</v>
      </c>
      <c r="AU94" s="57">
        <f t="shared" si="80"/>
        <v>15000</v>
      </c>
      <c r="AV94" s="57">
        <f t="shared" si="80"/>
        <v>15000</v>
      </c>
      <c r="AW94" s="57">
        <f t="shared" si="80"/>
        <v>15000</v>
      </c>
      <c r="AX94" s="57">
        <f t="shared" si="80"/>
        <v>15000</v>
      </c>
      <c r="AY94" s="57">
        <f t="shared" si="80"/>
        <v>15000</v>
      </c>
      <c r="AZ94" s="57">
        <f t="shared" si="80"/>
        <v>15000</v>
      </c>
      <c r="BA94" s="57">
        <f t="shared" si="80"/>
        <v>15000</v>
      </c>
      <c r="BB94" s="57">
        <f t="shared" si="80"/>
        <v>15000</v>
      </c>
      <c r="BC94" s="57">
        <f t="shared" si="80"/>
        <v>15000</v>
      </c>
      <c r="BD94" s="57">
        <f t="shared" si="80"/>
        <v>15000</v>
      </c>
      <c r="BE94" s="57">
        <f t="shared" si="80"/>
        <v>15000</v>
      </c>
      <c r="BF94" s="57">
        <f t="shared" si="80"/>
        <v>15000</v>
      </c>
      <c r="BG94" s="57">
        <f t="shared" si="80"/>
        <v>15000</v>
      </c>
      <c r="BH94" s="57">
        <f t="shared" si="80"/>
        <v>15000</v>
      </c>
      <c r="BI94" s="57">
        <f t="shared" si="80"/>
        <v>15000</v>
      </c>
      <c r="BJ94" s="57">
        <f t="shared" si="80"/>
        <v>15000</v>
      </c>
      <c r="BK94" s="57">
        <f t="shared" si="80"/>
        <v>15000</v>
      </c>
      <c r="BL94" s="57">
        <f t="shared" si="80"/>
        <v>15000</v>
      </c>
      <c r="BM94" s="57">
        <f t="shared" si="80"/>
        <v>15000</v>
      </c>
      <c r="BN94" s="57">
        <f t="shared" si="80"/>
        <v>15000</v>
      </c>
      <c r="BO94" s="57">
        <f t="shared" si="80"/>
        <v>15000</v>
      </c>
      <c r="BP94" s="57">
        <f t="shared" si="80"/>
        <v>15000</v>
      </c>
      <c r="BQ94" s="57">
        <f t="shared" si="80"/>
        <v>15000</v>
      </c>
      <c r="BR94" s="57">
        <f t="shared" si="80"/>
        <v>15000</v>
      </c>
      <c r="BS94" s="57">
        <f t="shared" ref="BS94:CL94" si="81">$F$93*$D$94/12</f>
        <v>15000</v>
      </c>
      <c r="BT94" s="57">
        <f t="shared" si="81"/>
        <v>15000</v>
      </c>
      <c r="BU94" s="57">
        <f t="shared" si="81"/>
        <v>15000</v>
      </c>
      <c r="BV94" s="57">
        <f t="shared" si="81"/>
        <v>15000</v>
      </c>
      <c r="BW94" s="57">
        <f t="shared" si="81"/>
        <v>15000</v>
      </c>
      <c r="BX94" s="57">
        <f t="shared" si="81"/>
        <v>15000</v>
      </c>
      <c r="BY94" s="57">
        <f t="shared" si="81"/>
        <v>15000</v>
      </c>
      <c r="BZ94" s="57">
        <f t="shared" si="81"/>
        <v>15000</v>
      </c>
      <c r="CA94" s="57">
        <f t="shared" si="81"/>
        <v>15000</v>
      </c>
      <c r="CB94" s="57">
        <f t="shared" si="81"/>
        <v>15000</v>
      </c>
      <c r="CC94" s="57">
        <f t="shared" si="81"/>
        <v>15000</v>
      </c>
      <c r="CD94" s="57">
        <f t="shared" si="81"/>
        <v>15000</v>
      </c>
      <c r="CE94" s="57">
        <f t="shared" si="81"/>
        <v>15000</v>
      </c>
      <c r="CF94" s="57">
        <f t="shared" si="81"/>
        <v>15000</v>
      </c>
      <c r="CG94" s="57">
        <f t="shared" si="81"/>
        <v>15000</v>
      </c>
      <c r="CH94" s="57">
        <f t="shared" si="81"/>
        <v>15000</v>
      </c>
      <c r="CI94" s="57">
        <f t="shared" si="81"/>
        <v>15000</v>
      </c>
      <c r="CJ94" s="57">
        <f t="shared" si="81"/>
        <v>15000</v>
      </c>
      <c r="CK94" s="57">
        <f t="shared" si="81"/>
        <v>15000</v>
      </c>
      <c r="CL94" s="57">
        <f t="shared" si="81"/>
        <v>15000</v>
      </c>
    </row>
    <row r="95" spans="2:90" ht="12.6" customHeight="1" x14ac:dyDescent="0.2">
      <c r="B95" s="35" t="s">
        <v>147</v>
      </c>
      <c r="D95" s="57">
        <f>-F80-D93</f>
        <v>6520000</v>
      </c>
      <c r="F95" s="57">
        <f>-F80-F93</f>
        <v>6520000</v>
      </c>
    </row>
    <row r="96" spans="2:90" ht="12.6" customHeight="1" x14ac:dyDescent="0.2">
      <c r="B96" s="35" t="s">
        <v>149</v>
      </c>
      <c r="D96" s="121">
        <v>0.01</v>
      </c>
      <c r="F96" s="57"/>
      <c r="G96" s="57">
        <f>$F$95*$D$96/12</f>
        <v>5433.333333333333</v>
      </c>
      <c r="H96" s="57">
        <f t="shared" ref="H96:BS96" si="82">$F$95*$D$96/12</f>
        <v>5433.333333333333</v>
      </c>
      <c r="I96" s="57">
        <f t="shared" si="82"/>
        <v>5433.333333333333</v>
      </c>
      <c r="J96" s="57">
        <f t="shared" si="82"/>
        <v>5433.333333333333</v>
      </c>
      <c r="K96" s="57">
        <f t="shared" si="82"/>
        <v>5433.333333333333</v>
      </c>
      <c r="L96" s="57">
        <f t="shared" si="82"/>
        <v>5433.333333333333</v>
      </c>
      <c r="M96" s="57">
        <f t="shared" si="82"/>
        <v>5433.333333333333</v>
      </c>
      <c r="N96" s="57">
        <f t="shared" si="82"/>
        <v>5433.333333333333</v>
      </c>
      <c r="O96" s="57">
        <f t="shared" si="82"/>
        <v>5433.333333333333</v>
      </c>
      <c r="P96" s="57">
        <f t="shared" si="82"/>
        <v>5433.333333333333</v>
      </c>
      <c r="Q96" s="57">
        <f t="shared" si="82"/>
        <v>5433.333333333333</v>
      </c>
      <c r="R96" s="57">
        <f t="shared" si="82"/>
        <v>5433.333333333333</v>
      </c>
      <c r="S96" s="57">
        <f t="shared" si="82"/>
        <v>5433.333333333333</v>
      </c>
      <c r="T96" s="57">
        <f t="shared" si="82"/>
        <v>5433.333333333333</v>
      </c>
      <c r="U96" s="57">
        <f t="shared" si="82"/>
        <v>5433.333333333333</v>
      </c>
      <c r="V96" s="57">
        <f t="shared" si="82"/>
        <v>5433.333333333333</v>
      </c>
      <c r="W96" s="57">
        <f t="shared" si="82"/>
        <v>5433.333333333333</v>
      </c>
      <c r="X96" s="57">
        <f t="shared" si="82"/>
        <v>5433.333333333333</v>
      </c>
      <c r="Y96" s="57">
        <f t="shared" si="82"/>
        <v>5433.333333333333</v>
      </c>
      <c r="Z96" s="57">
        <f t="shared" si="82"/>
        <v>5433.333333333333</v>
      </c>
      <c r="AA96" s="57">
        <f t="shared" si="82"/>
        <v>5433.333333333333</v>
      </c>
      <c r="AB96" s="57">
        <f t="shared" si="82"/>
        <v>5433.333333333333</v>
      </c>
      <c r="AC96" s="57">
        <f t="shared" si="82"/>
        <v>5433.333333333333</v>
      </c>
      <c r="AD96" s="57">
        <f t="shared" si="82"/>
        <v>5433.333333333333</v>
      </c>
      <c r="AE96" s="57">
        <f t="shared" si="82"/>
        <v>5433.333333333333</v>
      </c>
      <c r="AF96" s="57">
        <f t="shared" si="82"/>
        <v>5433.333333333333</v>
      </c>
      <c r="AG96" s="57">
        <f t="shared" si="82"/>
        <v>5433.333333333333</v>
      </c>
      <c r="AH96" s="57">
        <f t="shared" si="82"/>
        <v>5433.333333333333</v>
      </c>
      <c r="AI96" s="57">
        <f t="shared" si="82"/>
        <v>5433.333333333333</v>
      </c>
      <c r="AJ96" s="57">
        <f t="shared" si="82"/>
        <v>5433.333333333333</v>
      </c>
      <c r="AK96" s="57">
        <f t="shared" si="82"/>
        <v>5433.333333333333</v>
      </c>
      <c r="AL96" s="57">
        <f t="shared" si="82"/>
        <v>5433.333333333333</v>
      </c>
      <c r="AM96" s="57">
        <f t="shared" si="82"/>
        <v>5433.333333333333</v>
      </c>
      <c r="AN96" s="57">
        <f t="shared" si="82"/>
        <v>5433.333333333333</v>
      </c>
      <c r="AO96" s="57">
        <f t="shared" si="82"/>
        <v>5433.333333333333</v>
      </c>
      <c r="AP96" s="57">
        <f t="shared" si="82"/>
        <v>5433.333333333333</v>
      </c>
      <c r="AQ96" s="57">
        <f t="shared" si="82"/>
        <v>5433.333333333333</v>
      </c>
      <c r="AR96" s="57">
        <f t="shared" si="82"/>
        <v>5433.333333333333</v>
      </c>
      <c r="AS96" s="57">
        <f t="shared" si="82"/>
        <v>5433.333333333333</v>
      </c>
      <c r="AT96" s="57">
        <f t="shared" si="82"/>
        <v>5433.333333333333</v>
      </c>
      <c r="AU96" s="57">
        <f t="shared" si="82"/>
        <v>5433.333333333333</v>
      </c>
      <c r="AV96" s="57">
        <f t="shared" si="82"/>
        <v>5433.333333333333</v>
      </c>
      <c r="AW96" s="57">
        <f t="shared" si="82"/>
        <v>5433.333333333333</v>
      </c>
      <c r="AX96" s="57">
        <f t="shared" si="82"/>
        <v>5433.333333333333</v>
      </c>
      <c r="AY96" s="57">
        <f t="shared" si="82"/>
        <v>5433.333333333333</v>
      </c>
      <c r="AZ96" s="57">
        <f t="shared" si="82"/>
        <v>5433.333333333333</v>
      </c>
      <c r="BA96" s="57">
        <f t="shared" si="82"/>
        <v>5433.333333333333</v>
      </c>
      <c r="BB96" s="57">
        <f t="shared" si="82"/>
        <v>5433.333333333333</v>
      </c>
      <c r="BC96" s="57">
        <f t="shared" si="82"/>
        <v>5433.333333333333</v>
      </c>
      <c r="BD96" s="57">
        <f t="shared" si="82"/>
        <v>5433.333333333333</v>
      </c>
      <c r="BE96" s="57">
        <f t="shared" si="82"/>
        <v>5433.333333333333</v>
      </c>
      <c r="BF96" s="57">
        <f t="shared" si="82"/>
        <v>5433.333333333333</v>
      </c>
      <c r="BG96" s="57">
        <f t="shared" si="82"/>
        <v>5433.333333333333</v>
      </c>
      <c r="BH96" s="57">
        <f t="shared" si="82"/>
        <v>5433.333333333333</v>
      </c>
      <c r="BI96" s="57">
        <f t="shared" si="82"/>
        <v>5433.333333333333</v>
      </c>
      <c r="BJ96" s="57">
        <f t="shared" si="82"/>
        <v>5433.333333333333</v>
      </c>
      <c r="BK96" s="57">
        <f t="shared" si="82"/>
        <v>5433.333333333333</v>
      </c>
      <c r="BL96" s="57">
        <f t="shared" si="82"/>
        <v>5433.333333333333</v>
      </c>
      <c r="BM96" s="57">
        <f t="shared" si="82"/>
        <v>5433.333333333333</v>
      </c>
      <c r="BN96" s="57">
        <f t="shared" si="82"/>
        <v>5433.333333333333</v>
      </c>
      <c r="BO96" s="57">
        <f t="shared" si="82"/>
        <v>5433.333333333333</v>
      </c>
      <c r="BP96" s="57">
        <f t="shared" si="82"/>
        <v>5433.333333333333</v>
      </c>
      <c r="BQ96" s="57">
        <f t="shared" si="82"/>
        <v>5433.333333333333</v>
      </c>
      <c r="BR96" s="57">
        <f t="shared" si="82"/>
        <v>5433.333333333333</v>
      </c>
      <c r="BS96" s="57">
        <f t="shared" si="82"/>
        <v>5433.333333333333</v>
      </c>
      <c r="BT96" s="57">
        <f t="shared" ref="BT96:CL96" si="83">$F$95*$D$96/12</f>
        <v>5433.333333333333</v>
      </c>
      <c r="BU96" s="57">
        <f t="shared" si="83"/>
        <v>5433.333333333333</v>
      </c>
      <c r="BV96" s="57">
        <f t="shared" si="83"/>
        <v>5433.333333333333</v>
      </c>
      <c r="BW96" s="57">
        <f t="shared" si="83"/>
        <v>5433.333333333333</v>
      </c>
      <c r="BX96" s="57">
        <f t="shared" si="83"/>
        <v>5433.333333333333</v>
      </c>
      <c r="BY96" s="57">
        <f t="shared" si="83"/>
        <v>5433.333333333333</v>
      </c>
      <c r="BZ96" s="57">
        <f t="shared" si="83"/>
        <v>5433.333333333333</v>
      </c>
      <c r="CA96" s="57">
        <f t="shared" si="83"/>
        <v>5433.333333333333</v>
      </c>
      <c r="CB96" s="57">
        <f t="shared" si="83"/>
        <v>5433.333333333333</v>
      </c>
      <c r="CC96" s="57">
        <f t="shared" si="83"/>
        <v>5433.333333333333</v>
      </c>
      <c r="CD96" s="57">
        <f t="shared" si="83"/>
        <v>5433.333333333333</v>
      </c>
      <c r="CE96" s="57">
        <f t="shared" si="83"/>
        <v>5433.333333333333</v>
      </c>
      <c r="CF96" s="57">
        <f t="shared" si="83"/>
        <v>5433.333333333333</v>
      </c>
      <c r="CG96" s="57">
        <f t="shared" si="83"/>
        <v>5433.333333333333</v>
      </c>
      <c r="CH96" s="57">
        <f t="shared" si="83"/>
        <v>5433.333333333333</v>
      </c>
      <c r="CI96" s="57">
        <f t="shared" si="83"/>
        <v>5433.333333333333</v>
      </c>
      <c r="CJ96" s="57">
        <f t="shared" si="83"/>
        <v>5433.333333333333</v>
      </c>
      <c r="CK96" s="57">
        <f t="shared" si="83"/>
        <v>5433.333333333333</v>
      </c>
      <c r="CL96" s="57">
        <f t="shared" si="83"/>
        <v>5433.333333333333</v>
      </c>
    </row>
    <row r="97" spans="2:90" ht="12.6" customHeight="1" x14ac:dyDescent="0.2">
      <c r="B97" s="65" t="s">
        <v>146</v>
      </c>
      <c r="C97" s="62"/>
      <c r="D97" s="62"/>
      <c r="E97" s="42"/>
      <c r="F97" s="159">
        <f>F80-F94-F96</f>
        <v>-8520000</v>
      </c>
      <c r="G97" s="159">
        <f>G80-G94-G96</f>
        <v>-32520.511666666676</v>
      </c>
      <c r="H97" s="159">
        <f t="shared" ref="H97:BS97" si="84">H80-H94-H96</f>
        <v>17479.488333333324</v>
      </c>
      <c r="I97" s="159">
        <f t="shared" si="84"/>
        <v>17479.488333333324</v>
      </c>
      <c r="J97" s="159">
        <f t="shared" si="84"/>
        <v>17479.488333333324</v>
      </c>
      <c r="K97" s="159">
        <f t="shared" si="84"/>
        <v>17479.488333333324</v>
      </c>
      <c r="L97" s="159">
        <f t="shared" si="84"/>
        <v>17479.488333333324</v>
      </c>
      <c r="M97" s="159">
        <f t="shared" si="84"/>
        <v>17479.488333333324</v>
      </c>
      <c r="N97" s="159">
        <f t="shared" si="84"/>
        <v>17479.488333333324</v>
      </c>
      <c r="O97" s="159">
        <f t="shared" si="84"/>
        <v>17479.488333333324</v>
      </c>
      <c r="P97" s="159">
        <f t="shared" si="84"/>
        <v>17479.488333333324</v>
      </c>
      <c r="Q97" s="159">
        <f t="shared" si="84"/>
        <v>17479.488333333324</v>
      </c>
      <c r="R97" s="159">
        <f t="shared" si="84"/>
        <v>17479.488333333324</v>
      </c>
      <c r="S97" s="159">
        <f t="shared" si="84"/>
        <v>58214.287045833342</v>
      </c>
      <c r="T97" s="159">
        <f t="shared" si="84"/>
        <v>58214.287045833342</v>
      </c>
      <c r="U97" s="159">
        <f t="shared" si="84"/>
        <v>58214.287045833342</v>
      </c>
      <c r="V97" s="159">
        <f t="shared" si="84"/>
        <v>58214.287045833342</v>
      </c>
      <c r="W97" s="159">
        <f t="shared" si="84"/>
        <v>58214.287045833342</v>
      </c>
      <c r="X97" s="159">
        <f t="shared" si="84"/>
        <v>58214.287045833342</v>
      </c>
      <c r="Y97" s="159">
        <f t="shared" si="84"/>
        <v>58214.287045833342</v>
      </c>
      <c r="Z97" s="159">
        <f t="shared" si="84"/>
        <v>58214.287045833342</v>
      </c>
      <c r="AA97" s="159">
        <f t="shared" si="84"/>
        <v>58214.287045833342</v>
      </c>
      <c r="AB97" s="159">
        <f t="shared" si="84"/>
        <v>58214.287045833342</v>
      </c>
      <c r="AC97" s="159">
        <f t="shared" si="84"/>
        <v>58214.287045833342</v>
      </c>
      <c r="AD97" s="159">
        <f t="shared" si="84"/>
        <v>58214.287045833342</v>
      </c>
      <c r="AE97" s="159">
        <f t="shared" si="84"/>
        <v>100536.36963492769</v>
      </c>
      <c r="AF97" s="159">
        <f t="shared" si="84"/>
        <v>100536.3696349277</v>
      </c>
      <c r="AG97" s="159">
        <f t="shared" si="84"/>
        <v>100536.36963492769</v>
      </c>
      <c r="AH97" s="159">
        <f t="shared" si="84"/>
        <v>100536.36963492769</v>
      </c>
      <c r="AI97" s="159">
        <f t="shared" si="84"/>
        <v>100536.36963492767</v>
      </c>
      <c r="AJ97" s="159">
        <f t="shared" si="84"/>
        <v>100536.36963492769</v>
      </c>
      <c r="AK97" s="159">
        <f t="shared" si="84"/>
        <v>100536.3696349277</v>
      </c>
      <c r="AL97" s="159">
        <f t="shared" si="84"/>
        <v>100536.3696349277</v>
      </c>
      <c r="AM97" s="159">
        <f t="shared" si="84"/>
        <v>100536.3696349277</v>
      </c>
      <c r="AN97" s="159">
        <f t="shared" si="84"/>
        <v>100536.3696349277</v>
      </c>
      <c r="AO97" s="159">
        <f t="shared" si="84"/>
        <v>100536.36963492767</v>
      </c>
      <c r="AP97" s="159">
        <f t="shared" si="84"/>
        <v>100536.36963492767</v>
      </c>
      <c r="AQ97" s="159">
        <f t="shared" si="84"/>
        <v>112758.7309366752</v>
      </c>
      <c r="AR97" s="159">
        <f t="shared" si="84"/>
        <v>112758.7309366752</v>
      </c>
      <c r="AS97" s="159">
        <f t="shared" si="84"/>
        <v>112758.73093667523</v>
      </c>
      <c r="AT97" s="159">
        <f t="shared" si="84"/>
        <v>112758.7309366752</v>
      </c>
      <c r="AU97" s="159">
        <f t="shared" si="84"/>
        <v>112758.73093667523</v>
      </c>
      <c r="AV97" s="159">
        <f t="shared" si="84"/>
        <v>112758.7309366752</v>
      </c>
      <c r="AW97" s="159">
        <f t="shared" si="84"/>
        <v>112758.73093667523</v>
      </c>
      <c r="AX97" s="159">
        <f t="shared" si="84"/>
        <v>112758.7309366752</v>
      </c>
      <c r="AY97" s="159">
        <f t="shared" si="84"/>
        <v>112758.73093667523</v>
      </c>
      <c r="AZ97" s="159">
        <f t="shared" si="84"/>
        <v>112758.73093667523</v>
      </c>
      <c r="BA97" s="159">
        <f t="shared" si="84"/>
        <v>112758.73093667523</v>
      </c>
      <c r="BB97" s="159">
        <f t="shared" si="84"/>
        <v>112758.7309366752</v>
      </c>
      <c r="BC97" s="159">
        <f t="shared" si="84"/>
        <v>119085.93774935002</v>
      </c>
      <c r="BD97" s="159">
        <f t="shared" si="84"/>
        <v>119085.93774935002</v>
      </c>
      <c r="BE97" s="159">
        <f t="shared" si="84"/>
        <v>119085.93774935002</v>
      </c>
      <c r="BF97" s="159">
        <f t="shared" si="84"/>
        <v>119085.93774935002</v>
      </c>
      <c r="BG97" s="159">
        <f t="shared" si="84"/>
        <v>119085.93774935005</v>
      </c>
      <c r="BH97" s="159">
        <f t="shared" si="84"/>
        <v>119085.93774935002</v>
      </c>
      <c r="BI97" s="159">
        <f t="shared" si="84"/>
        <v>119085.93774935002</v>
      </c>
      <c r="BJ97" s="159">
        <f t="shared" si="84"/>
        <v>119085.93774935002</v>
      </c>
      <c r="BK97" s="159">
        <f t="shared" si="84"/>
        <v>119085.93774935002</v>
      </c>
      <c r="BL97" s="159">
        <f t="shared" si="84"/>
        <v>119085.93774935002</v>
      </c>
      <c r="BM97" s="159">
        <f t="shared" si="84"/>
        <v>119085.93774935005</v>
      </c>
      <c r="BN97" s="159">
        <f t="shared" si="84"/>
        <v>119085.93774935002</v>
      </c>
      <c r="BO97" s="159">
        <f t="shared" si="84"/>
        <v>125605.96076640532</v>
      </c>
      <c r="BP97" s="159">
        <f t="shared" si="84"/>
        <v>125605.96076640529</v>
      </c>
      <c r="BQ97" s="159">
        <f t="shared" si="84"/>
        <v>125605.96076640532</v>
      </c>
      <c r="BR97" s="159">
        <f t="shared" si="84"/>
        <v>125605.96076640529</v>
      </c>
      <c r="BS97" s="159">
        <f t="shared" si="84"/>
        <v>125605.96076640532</v>
      </c>
      <c r="BT97" s="159">
        <f t="shared" ref="BT97:CL97" si="85">BT80-BT94-BT96</f>
        <v>125605.96076640532</v>
      </c>
      <c r="BU97" s="159">
        <f t="shared" si="85"/>
        <v>125605.96076640529</v>
      </c>
      <c r="BV97" s="159">
        <f t="shared" si="85"/>
        <v>125605.96076640529</v>
      </c>
      <c r="BW97" s="159">
        <f t="shared" si="85"/>
        <v>125605.96076640529</v>
      </c>
      <c r="BX97" s="159">
        <f t="shared" si="85"/>
        <v>125605.96076640532</v>
      </c>
      <c r="BY97" s="159">
        <f t="shared" si="85"/>
        <v>125605.96076640529</v>
      </c>
      <c r="BZ97" s="159">
        <f t="shared" si="85"/>
        <v>125605.96076640529</v>
      </c>
      <c r="CA97" s="159">
        <f t="shared" si="85"/>
        <v>132299.58447397212</v>
      </c>
      <c r="CB97" s="159">
        <f t="shared" si="85"/>
        <v>132299.58447397212</v>
      </c>
      <c r="CC97" s="159">
        <f t="shared" si="85"/>
        <v>132299.58447397212</v>
      </c>
      <c r="CD97" s="159">
        <f t="shared" si="85"/>
        <v>132299.58447397212</v>
      </c>
      <c r="CE97" s="159">
        <f t="shared" si="85"/>
        <v>132299.58447397212</v>
      </c>
      <c r="CF97" s="159">
        <f t="shared" si="85"/>
        <v>132299.58447397209</v>
      </c>
      <c r="CG97" s="159">
        <f t="shared" si="85"/>
        <v>132299.58447397212</v>
      </c>
      <c r="CH97" s="159">
        <f t="shared" si="85"/>
        <v>132299.58447397209</v>
      </c>
      <c r="CI97" s="159">
        <f t="shared" si="85"/>
        <v>132299.58447397209</v>
      </c>
      <c r="CJ97" s="159">
        <f t="shared" si="85"/>
        <v>132299.58447397209</v>
      </c>
      <c r="CK97" s="159">
        <f t="shared" si="85"/>
        <v>132299.58447397209</v>
      </c>
      <c r="CL97" s="159">
        <f t="shared" si="85"/>
        <v>39254075.626253493</v>
      </c>
    </row>
    <row r="98" spans="2:90" ht="12.6" customHeight="1" x14ac:dyDescent="0.2">
      <c r="B98" s="35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57"/>
      <c r="BS98" s="57"/>
      <c r="BT98" s="57"/>
      <c r="BU98" s="57"/>
      <c r="BV98" s="57"/>
      <c r="BW98" s="57"/>
      <c r="BX98" s="57"/>
      <c r="BY98" s="57"/>
      <c r="BZ98" s="57"/>
      <c r="CA98" s="57"/>
      <c r="CB98" s="57"/>
      <c r="CC98" s="57"/>
      <c r="CD98" s="57"/>
      <c r="CE98" s="57"/>
      <c r="CF98" s="57"/>
      <c r="CG98" s="57"/>
      <c r="CH98" s="57"/>
      <c r="CI98" s="57"/>
      <c r="CJ98" s="57"/>
      <c r="CK98" s="57"/>
      <c r="CL98" s="57"/>
    </row>
    <row r="99" spans="2:90" ht="12.6" customHeight="1" x14ac:dyDescent="0.2">
      <c r="B99" s="69" t="s">
        <v>161</v>
      </c>
      <c r="C99" s="42"/>
      <c r="D99" s="70">
        <f>XIRR(F97:CL97,F7:CL7)</f>
        <v>0.31372542977333073</v>
      </c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57"/>
      <c r="BS99" s="57"/>
      <c r="BT99" s="57"/>
      <c r="BU99" s="57"/>
      <c r="BV99" s="57"/>
      <c r="BW99" s="57"/>
      <c r="BX99" s="57"/>
      <c r="BY99" s="57"/>
      <c r="BZ99" s="57"/>
      <c r="CA99" s="57"/>
      <c r="CB99" s="57"/>
      <c r="CC99" s="57"/>
      <c r="CD99" s="57"/>
      <c r="CE99" s="57"/>
      <c r="CF99" s="57"/>
      <c r="CG99" s="57"/>
      <c r="CH99" s="57"/>
      <c r="CI99" s="57"/>
      <c r="CJ99" s="57"/>
      <c r="CK99" s="57"/>
      <c r="CL99" s="57"/>
    </row>
    <row r="100" spans="2:90" ht="12.6" customHeight="1" x14ac:dyDescent="0.2">
      <c r="B100" s="71" t="s">
        <v>118</v>
      </c>
      <c r="D100" s="72">
        <f>SUM(F97:CL97)</f>
        <v>38543540.34906549</v>
      </c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</row>
    <row r="101" spans="2:90" ht="12.6" customHeight="1" x14ac:dyDescent="0.2">
      <c r="B101" s="73" t="s">
        <v>128</v>
      </c>
      <c r="C101" s="74"/>
      <c r="D101" s="75">
        <f>SUMIF(F97:CL97,"&gt;"&amp;0) / -SUMIF(F97:CL97,"&lt;"&amp;0)</f>
        <v>5.5066878584491512</v>
      </c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  <c r="BS101" s="57"/>
      <c r="BT101" s="57"/>
      <c r="BU101" s="57"/>
      <c r="BV101" s="57"/>
      <c r="BW101" s="57"/>
      <c r="BX101" s="57"/>
      <c r="BY101" s="57"/>
      <c r="BZ101" s="57"/>
      <c r="CA101" s="57"/>
      <c r="CB101" s="57"/>
      <c r="CC101" s="57"/>
      <c r="CD101" s="57"/>
      <c r="CE101" s="57"/>
      <c r="CF101" s="57"/>
      <c r="CG101" s="57"/>
      <c r="CH101" s="57"/>
      <c r="CI101" s="57"/>
      <c r="CJ101" s="57"/>
      <c r="CK101" s="57"/>
      <c r="CL101" s="57"/>
    </row>
    <row r="102" spans="2:90" ht="12.6" customHeight="1" x14ac:dyDescent="0.2">
      <c r="B102" s="35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/>
      <c r="BF102" s="57"/>
      <c r="BG102" s="57"/>
      <c r="BH102" s="57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  <c r="BS102" s="57"/>
      <c r="BT102" s="57"/>
      <c r="BU102" s="57"/>
      <c r="BV102" s="57"/>
      <c r="BW102" s="57"/>
      <c r="BX102" s="57"/>
      <c r="BY102" s="57"/>
      <c r="BZ102" s="57"/>
      <c r="CA102" s="57"/>
      <c r="CB102" s="57"/>
      <c r="CC102" s="57"/>
      <c r="CD102" s="57"/>
      <c r="CE102" s="57"/>
      <c r="CF102" s="57"/>
      <c r="CG102" s="57"/>
      <c r="CH102" s="57"/>
      <c r="CI102" s="57"/>
      <c r="CJ102" s="57"/>
      <c r="CK102" s="57"/>
      <c r="CL102" s="57"/>
    </row>
    <row r="104" spans="2:90" ht="12.6" customHeight="1" x14ac:dyDescent="0.2">
      <c r="B104" s="76" t="s">
        <v>143</v>
      </c>
      <c r="C104" s="78"/>
      <c r="D104" s="78"/>
    </row>
    <row r="105" spans="2:90" ht="12.6" customHeight="1" x14ac:dyDescent="0.2">
      <c r="B105" s="22" t="s">
        <v>129</v>
      </c>
      <c r="D105" s="87"/>
      <c r="F105" s="89">
        <f>E109</f>
        <v>0</v>
      </c>
      <c r="G105" s="57">
        <f>F109</f>
        <v>5868000</v>
      </c>
      <c r="H105" s="57">
        <f t="shared" ref="H105" si="86">G109</f>
        <v>5933943.4605</v>
      </c>
      <c r="I105" s="57">
        <f t="shared" ref="I105" si="87">H109</f>
        <v>5935692.1287134476</v>
      </c>
      <c r="J105" s="57">
        <f t="shared" ref="J105" si="88">I109</f>
        <v>5937451.3674846459</v>
      </c>
      <c r="K105" s="57">
        <f t="shared" ref="K105" si="89">J109</f>
        <v>5939221.2407117607</v>
      </c>
      <c r="L105" s="57">
        <f t="shared" ref="L105" si="90">K109</f>
        <v>5941001.8126792163</v>
      </c>
      <c r="M105" s="57">
        <f t="shared" ref="M105" si="91">L109</f>
        <v>5942793.1480600322</v>
      </c>
      <c r="N105" s="57">
        <f t="shared" ref="N105" si="92">M109</f>
        <v>5944595.3119181711</v>
      </c>
      <c r="O105" s="57">
        <f t="shared" ref="O105" si="93">N109</f>
        <v>5946408.3697109008</v>
      </c>
      <c r="P105" s="57">
        <f t="shared" ref="P105" si="94">O109</f>
        <v>5948232.3872911735</v>
      </c>
      <c r="Q105" s="57">
        <f t="shared" ref="Q105" si="95">P109</f>
        <v>5950067.4309100183</v>
      </c>
      <c r="R105" s="57">
        <f t="shared" ref="R105" si="96">Q109</f>
        <v>5951913.5672189444</v>
      </c>
      <c r="S105" s="57">
        <f t="shared" ref="S105" si="97">R109</f>
        <v>5953770.8632723661</v>
      </c>
      <c r="T105" s="57">
        <f t="shared" ref="T105" si="98">S109</f>
        <v>5918978.0676887855</v>
      </c>
      <c r="U105" s="57">
        <f t="shared" ref="U105" si="99">T109</f>
        <v>5883974.9524732735</v>
      </c>
      <c r="V105" s="57">
        <f t="shared" ref="V105" si="100">U109</f>
        <v>5848760.2462606858</v>
      </c>
      <c r="W105" s="57">
        <f t="shared" ref="W105" si="101">V109</f>
        <v>5813332.6700005783</v>
      </c>
      <c r="X105" s="57">
        <f t="shared" ref="X105" si="102">W109</f>
        <v>5777690.9369107513</v>
      </c>
      <c r="Y105" s="57">
        <f t="shared" ref="Y105" si="103">X109</f>
        <v>5741833.7524305116</v>
      </c>
      <c r="Z105" s="57">
        <f t="shared" ref="Z105" si="104">Y109</f>
        <v>5705759.8141736491</v>
      </c>
      <c r="AA105" s="57">
        <f t="shared" ref="AA105" si="105">Z109</f>
        <v>5669467.8118811371</v>
      </c>
      <c r="AB105" s="57">
        <f t="shared" ref="AB105" si="106">AA109</f>
        <v>5632956.4273735369</v>
      </c>
      <c r="AC105" s="57">
        <f t="shared" ref="AC105" si="107">AB109</f>
        <v>5596224.3345031235</v>
      </c>
      <c r="AD105" s="57">
        <f t="shared" ref="AD105" si="108">AC109</f>
        <v>5559270.1991057163</v>
      </c>
      <c r="AE105" s="57">
        <f t="shared" ref="AE105" si="109">AD109</f>
        <v>5522092.678952219</v>
      </c>
      <c r="AF105" s="57">
        <f t="shared" ref="AF105" si="110">AE109</f>
        <v>5446600.5493696844</v>
      </c>
      <c r="AG105" s="57">
        <f t="shared" ref="AG105" si="111">AF109</f>
        <v>5370652.0759768523</v>
      </c>
      <c r="AH105" s="57">
        <f t="shared" ref="AH105" si="112">AG109</f>
        <v>5294244.5002123415</v>
      </c>
      <c r="AI105" s="57">
        <f t="shared" ref="AI105" si="113">AH109</f>
        <v>5217375.0468394924</v>
      </c>
      <c r="AJ105" s="57">
        <f t="shared" ref="AJ105" si="114">AI109</f>
        <v>5140040.9238455622</v>
      </c>
      <c r="AK105" s="57">
        <f t="shared" ref="AK105" si="115">AJ109</f>
        <v>5062239.3223403189</v>
      </c>
      <c r="AL105" s="57">
        <f t="shared" ref="AL105" si="116">AK109</f>
        <v>4983967.4164540162</v>
      </c>
      <c r="AM105" s="57">
        <f t="shared" ref="AM105" si="117">AL109</f>
        <v>4905222.3632347537</v>
      </c>
      <c r="AN105" s="57">
        <f t="shared" ref="AN105" si="118">AM109</f>
        <v>4826001.3025452178</v>
      </c>
      <c r="AO105" s="57">
        <f t="shared" ref="AO105" si="119">AN109</f>
        <v>4746301.3569587953</v>
      </c>
      <c r="AP105" s="57">
        <f t="shared" ref="AP105" si="120">AO109</f>
        <v>4666119.6316550625</v>
      </c>
      <c r="AQ105" s="57">
        <f t="shared" ref="AQ105" si="121">AP109</f>
        <v>4585453.2143146405</v>
      </c>
      <c r="AR105" s="57">
        <f t="shared" ref="AR105" si="122">AQ109</f>
        <v>4493299.0498418426</v>
      </c>
      <c r="AS105" s="57">
        <f t="shared" ref="AS105" si="123">AR109</f>
        <v>4400587.8209070554</v>
      </c>
      <c r="AT105" s="57">
        <f t="shared" ref="AT105" si="124">AS109</f>
        <v>4307316.1601007152</v>
      </c>
      <c r="AU105" s="57">
        <f t="shared" ref="AU105" si="125">AT109</f>
        <v>4213480.6796575394</v>
      </c>
      <c r="AV105" s="57">
        <f t="shared" ref="AV105" si="126">AU109</f>
        <v>4119077.9713334786</v>
      </c>
      <c r="AW105" s="57">
        <f t="shared" ref="AW105" si="127">AV109</f>
        <v>4024104.6062819255</v>
      </c>
      <c r="AX105" s="57">
        <f t="shared" ref="AX105" si="128">AW109</f>
        <v>3928557.1349291713</v>
      </c>
      <c r="AY105" s="57">
        <f t="shared" ref="AY105" si="129">AX109</f>
        <v>3832432.0868491139</v>
      </c>
      <c r="AZ105" s="57">
        <f t="shared" ref="AZ105" si="130">AY109</f>
        <v>3735725.9706372065</v>
      </c>
      <c r="BA105" s="57">
        <f t="shared" ref="BA105" si="131">AZ109</f>
        <v>3638435.2737836442</v>
      </c>
      <c r="BB105" s="57">
        <f t="shared" ref="BB105" si="132">BA109</f>
        <v>3540556.4625457851</v>
      </c>
      <c r="BC105" s="57">
        <f t="shared" ref="BC105" si="133">BB109</f>
        <v>3442085.9818197992</v>
      </c>
      <c r="BD105" s="57">
        <f t="shared" ref="BD105" si="134">BC109</f>
        <v>3337325.7688801344</v>
      </c>
      <c r="BE105" s="57">
        <f t="shared" ref="BE105" si="135">BD109</f>
        <v>3231932.2889362816</v>
      </c>
      <c r="BF105" s="57">
        <f t="shared" ref="BF105" si="136">BE109</f>
        <v>3125901.7139404798</v>
      </c>
      <c r="BG105" s="57">
        <f t="shared" ref="BG105" si="137">BF109</f>
        <v>3019230.1927047293</v>
      </c>
      <c r="BH105" s="57">
        <f t="shared" ref="BH105" si="138">BG109</f>
        <v>2911913.8507609107</v>
      </c>
      <c r="BI105" s="57">
        <f t="shared" ref="BI105" si="139">BH109</f>
        <v>2803948.7902200585</v>
      </c>
      <c r="BJ105" s="57">
        <f t="shared" ref="BJ105" si="140">BI109</f>
        <v>2695331.0896307845</v>
      </c>
      <c r="BK105" s="57">
        <f t="shared" ref="BK105" si="141">BJ109</f>
        <v>2586056.8038368435</v>
      </c>
      <c r="BL105" s="57">
        <f t="shared" ref="BL105" si="142">BK109</f>
        <v>2476121.9638338406</v>
      </c>
      <c r="BM105" s="57">
        <f t="shared" ref="BM105" si="143">BL109</f>
        <v>2365522.576625071</v>
      </c>
      <c r="BN105" s="57">
        <f t="shared" ref="BN105" si="144">BM109</f>
        <v>2254254.6250764881</v>
      </c>
      <c r="BO105" s="57">
        <f t="shared" ref="BO105" si="145">BN109</f>
        <v>2142314.0677707954</v>
      </c>
      <c r="BP105" s="57">
        <f t="shared" ref="BP105" si="146">BO109</f>
        <v>2023828.8181453061</v>
      </c>
      <c r="BQ105" s="57">
        <f t="shared" ref="BQ105" si="147">BP109</f>
        <v>1904627.3347802577</v>
      </c>
      <c r="BR105" s="57">
        <f t="shared" ref="BR105" si="148">BQ109</f>
        <v>1784705.288100692</v>
      </c>
      <c r="BS105" s="57">
        <f t="shared" ref="BS105" si="149">BR109</f>
        <v>1664058.3223597212</v>
      </c>
      <c r="BT105" s="57">
        <f t="shared" ref="BT105" si="150">BS109</f>
        <v>1542682.0554803195</v>
      </c>
      <c r="BU105" s="57">
        <f t="shared" ref="BU105" si="151">BT109</f>
        <v>1420572.0788961612</v>
      </c>
      <c r="BV105" s="57">
        <f t="shared" ref="BV105" si="152">BU109</f>
        <v>1297723.9573914935</v>
      </c>
      <c r="BW105" s="57">
        <f t="shared" ref="BW105" si="153">BV109</f>
        <v>1174133.2289400436</v>
      </c>
      <c r="BX105" s="57">
        <f t="shared" ref="BX105" si="154">BW109</f>
        <v>1049795.4045429516</v>
      </c>
      <c r="BY105" s="57">
        <f t="shared" ref="BY105" si="155">BX109</f>
        <v>924705.96806572261</v>
      </c>
      <c r="BZ105" s="57">
        <f t="shared" ref="BZ105" si="156">BY109</f>
        <v>798860.37607419444</v>
      </c>
      <c r="CA105" s="57">
        <f t="shared" ref="CA105" si="157">BZ109</f>
        <v>672254.05766951339</v>
      </c>
      <c r="CB105" s="57">
        <f t="shared" ref="CB105" si="158">CA109</f>
        <v>538858.15298530227</v>
      </c>
      <c r="CC105" s="57">
        <f t="shared" ref="CC105" si="159">CB109</f>
        <v>404655.88085910288</v>
      </c>
      <c r="CD105" s="57">
        <f t="shared" ref="CD105" si="160">CC109</f>
        <v>269642.36686502467</v>
      </c>
      <c r="CE105" s="57">
        <f t="shared" ref="CE105" si="161">CD109</f>
        <v>133812.7071116672</v>
      </c>
      <c r="CF105" s="64">
        <f t="shared" ref="CF105" si="162">CE109</f>
        <v>0</v>
      </c>
      <c r="CG105" s="64">
        <f t="shared" ref="CG105" si="163">CF109</f>
        <v>0</v>
      </c>
      <c r="CH105" s="64">
        <f t="shared" ref="CH105" si="164">CG109</f>
        <v>0</v>
      </c>
      <c r="CI105" s="64">
        <f t="shared" ref="CI105" si="165">CH109</f>
        <v>0</v>
      </c>
      <c r="CJ105" s="64">
        <f t="shared" ref="CJ105" si="166">CI109</f>
        <v>0</v>
      </c>
      <c r="CK105" s="64">
        <f t="shared" ref="CK105" si="167">CJ109</f>
        <v>0</v>
      </c>
      <c r="CL105" s="64">
        <f t="shared" ref="CL105" si="168">CK109</f>
        <v>0</v>
      </c>
    </row>
    <row r="106" spans="2:90" ht="12.6" customHeight="1" x14ac:dyDescent="0.2">
      <c r="B106" s="22" t="s">
        <v>160</v>
      </c>
      <c r="D106" s="86">
        <f>Assumptions!H28</f>
        <v>7.4999999999999997E-2</v>
      </c>
      <c r="F106" s="89">
        <f>F105*$D$106/12</f>
        <v>0</v>
      </c>
      <c r="G106" s="57">
        <f>G105*$D$106/12</f>
        <v>36675</v>
      </c>
      <c r="H106" s="57">
        <f t="shared" ref="H106:AL106" si="169">H105*((1+$D$106)^(1/12)-1)</f>
        <v>35870.207713447875</v>
      </c>
      <c r="I106" s="57">
        <f t="shared" si="169"/>
        <v>35880.77827119852</v>
      </c>
      <c r="J106" s="57">
        <f t="shared" si="169"/>
        <v>35891.41272711481</v>
      </c>
      <c r="K106" s="57">
        <f t="shared" si="169"/>
        <v>35902.111467455979</v>
      </c>
      <c r="L106" s="57">
        <f t="shared" si="169"/>
        <v>35912.874880816169</v>
      </c>
      <c r="M106" s="57">
        <f t="shared" si="169"/>
        <v>35923.703358138555</v>
      </c>
      <c r="N106" s="57">
        <f t="shared" si="169"/>
        <v>35934.597292729508</v>
      </c>
      <c r="O106" s="57">
        <f t="shared" si="169"/>
        <v>35945.55708027292</v>
      </c>
      <c r="P106" s="57">
        <f t="shared" si="169"/>
        <v>35956.583118844552</v>
      </c>
      <c r="Q106" s="57">
        <f t="shared" si="169"/>
        <v>35967.675808926513</v>
      </c>
      <c r="R106" s="57">
        <f t="shared" si="169"/>
        <v>35978.835553421777</v>
      </c>
      <c r="S106" s="57">
        <f t="shared" si="169"/>
        <v>35990.062757668849</v>
      </c>
      <c r="T106" s="57">
        <f t="shared" si="169"/>
        <v>35779.743125737368</v>
      </c>
      <c r="U106" s="57">
        <f t="shared" si="169"/>
        <v>35568.152128661641</v>
      </c>
      <c r="V106" s="57">
        <f t="shared" si="169"/>
        <v>35355.28208114233</v>
      </c>
      <c r="W106" s="57">
        <f t="shared" si="169"/>
        <v>35141.125251423058</v>
      </c>
      <c r="X106" s="57">
        <f t="shared" si="169"/>
        <v>34925.673861009636</v>
      </c>
      <c r="Y106" s="57">
        <f t="shared" si="169"/>
        <v>34708.920084387501</v>
      </c>
      <c r="Z106" s="57">
        <f t="shared" si="169"/>
        <v>34490.856048737463</v>
      </c>
      <c r="AA106" s="57">
        <f t="shared" si="169"/>
        <v>34271.473833649819</v>
      </c>
      <c r="AB106" s="57">
        <f t="shared" si="169"/>
        <v>34050.765470836595</v>
      </c>
      <c r="AC106" s="57">
        <f t="shared" si="169"/>
        <v>33828.722943842185</v>
      </c>
      <c r="AD106" s="57">
        <f t="shared" si="169"/>
        <v>33605.338187752146</v>
      </c>
      <c r="AE106" s="57">
        <f t="shared" si="169"/>
        <v>33380.60308890028</v>
      </c>
      <c r="AF106" s="57">
        <f t="shared" si="169"/>
        <v>32924.259278602527</v>
      </c>
      <c r="AG106" s="57">
        <f t="shared" si="169"/>
        <v>32465.15690692428</v>
      </c>
      <c r="AH106" s="57">
        <f t="shared" si="169"/>
        <v>32003.279298585378</v>
      </c>
      <c r="AI106" s="57">
        <f t="shared" si="169"/>
        <v>31538.609677504937</v>
      </c>
      <c r="AJ106" s="57">
        <f t="shared" si="169"/>
        <v>31071.131166192012</v>
      </c>
      <c r="AK106" s="57">
        <f t="shared" si="169"/>
        <v>30600.826785132605</v>
      </c>
      <c r="AL106" s="57">
        <f t="shared" si="169"/>
        <v>30127.679452172921</v>
      </c>
      <c r="AM106" s="57">
        <f t="shared" ref="AM106:BR106" si="170">AM105*((1+$D$106)^(1/12)-1)</f>
        <v>29651.67198189894</v>
      </c>
      <c r="AN106" s="57">
        <f t="shared" si="170"/>
        <v>29172.787085012194</v>
      </c>
      <c r="AO106" s="57">
        <f t="shared" si="170"/>
        <v>28691.007367701815</v>
      </c>
      <c r="AP106" s="57">
        <f t="shared" si="170"/>
        <v>28206.315331012749</v>
      </c>
      <c r="AQ106" s="57">
        <f t="shared" si="170"/>
        <v>27718.693370210174</v>
      </c>
      <c r="AR106" s="57">
        <f t="shared" si="170"/>
        <v>27161.628908220853</v>
      </c>
      <c r="AS106" s="57">
        <f t="shared" si="170"/>
        <v>26601.19703666749</v>
      </c>
      <c r="AT106" s="57">
        <f t="shared" si="170"/>
        <v>26037.377399831963</v>
      </c>
      <c r="AU106" s="57">
        <f t="shared" si="170"/>
        <v>25470.149518947455</v>
      </c>
      <c r="AV106" s="57">
        <f t="shared" si="170"/>
        <v>24899.492791454679</v>
      </c>
      <c r="AW106" s="57">
        <f t="shared" si="170"/>
        <v>24325.386490253542</v>
      </c>
      <c r="AX106" s="57">
        <f t="shared" si="170"/>
        <v>23747.80976295031</v>
      </c>
      <c r="AY106" s="57">
        <f t="shared" si="170"/>
        <v>23166.741631100216</v>
      </c>
      <c r="AZ106" s="57">
        <f t="shared" si="170"/>
        <v>22582.160989445489</v>
      </c>
      <c r="BA106" s="57">
        <f t="shared" si="170"/>
        <v>21994.046605148793</v>
      </c>
      <c r="BB106" s="57">
        <f t="shared" si="170"/>
        <v>21402.377117022002</v>
      </c>
      <c r="BC106" s="57">
        <f t="shared" si="170"/>
        <v>20807.131034750339</v>
      </c>
      <c r="BD106" s="57">
        <f t="shared" si="170"/>
        <v>20173.864030562509</v>
      </c>
      <c r="BE106" s="57">
        <f t="shared" si="170"/>
        <v>19536.768978613603</v>
      </c>
      <c r="BF106" s="57">
        <f t="shared" si="170"/>
        <v>18895.82273866489</v>
      </c>
      <c r="BG106" s="57">
        <f t="shared" si="170"/>
        <v>18251.002030596766</v>
      </c>
      <c r="BH106" s="57">
        <f t="shared" si="170"/>
        <v>17602.283433563181</v>
      </c>
      <c r="BI106" s="57">
        <f t="shared" si="170"/>
        <v>16949.643385140978</v>
      </c>
      <c r="BJ106" s="57">
        <f t="shared" si="170"/>
        <v>16293.058180474052</v>
      </c>
      <c r="BK106" s="57">
        <f t="shared" si="170"/>
        <v>15632.503971412369</v>
      </c>
      <c r="BL106" s="57">
        <f t="shared" si="170"/>
        <v>14967.956765645751</v>
      </c>
      <c r="BM106" s="57">
        <f t="shared" si="170"/>
        <v>14299.392425832453</v>
      </c>
      <c r="BN106" s="57">
        <f t="shared" si="170"/>
        <v>13626.786668722456</v>
      </c>
      <c r="BO106" s="57">
        <f t="shared" si="170"/>
        <v>12950.115064275456</v>
      </c>
      <c r="BP106" s="57">
        <f t="shared" si="170"/>
        <v>12233.881324716383</v>
      </c>
      <c r="BQ106" s="57">
        <f t="shared" si="170"/>
        <v>11513.318010199209</v>
      </c>
      <c r="BR106" s="57">
        <f t="shared" si="170"/>
        <v>10788.398948793903</v>
      </c>
      <c r="BS106" s="57">
        <f t="shared" ref="BS106:CL106" si="171">BS105*((1+$D$106)^(1/12)-1)</f>
        <v>10059.097810363237</v>
      </c>
      <c r="BT106" s="57">
        <f t="shared" si="171"/>
        <v>9325.3881056064347</v>
      </c>
      <c r="BU106" s="57">
        <f t="shared" si="171"/>
        <v>8587.2431850970388</v>
      </c>
      <c r="BV106" s="57">
        <f t="shared" si="171"/>
        <v>7844.6362383149726</v>
      </c>
      <c r="BW106" s="57">
        <f t="shared" si="171"/>
        <v>7097.540292672732</v>
      </c>
      <c r="BX106" s="57">
        <f t="shared" si="171"/>
        <v>6345.9282125357076</v>
      </c>
      <c r="BY106" s="57">
        <f t="shared" si="171"/>
        <v>5589.7726982365757</v>
      </c>
      <c r="BZ106" s="57">
        <f t="shared" si="171"/>
        <v>4829.0462850837339</v>
      </c>
      <c r="CA106" s="57">
        <f t="shared" si="171"/>
        <v>4063.7213423637427</v>
      </c>
      <c r="CB106" s="57">
        <f t="shared" si="171"/>
        <v>3257.3539003755504</v>
      </c>
      <c r="CC106" s="57">
        <f t="shared" si="171"/>
        <v>2446.1120324967137</v>
      </c>
      <c r="CD106" s="57">
        <f t="shared" si="171"/>
        <v>1629.9662732174343</v>
      </c>
      <c r="CE106" s="57">
        <f t="shared" si="171"/>
        <v>808.88697891129266</v>
      </c>
      <c r="CF106" s="64">
        <f t="shared" si="171"/>
        <v>0</v>
      </c>
      <c r="CG106" s="64">
        <f t="shared" si="171"/>
        <v>0</v>
      </c>
      <c r="CH106" s="64">
        <f t="shared" si="171"/>
        <v>0</v>
      </c>
      <c r="CI106" s="64">
        <f t="shared" si="171"/>
        <v>0</v>
      </c>
      <c r="CJ106" s="64">
        <f t="shared" si="171"/>
        <v>0</v>
      </c>
      <c r="CK106" s="64">
        <f t="shared" si="171"/>
        <v>0</v>
      </c>
      <c r="CL106" s="64">
        <f t="shared" si="171"/>
        <v>0</v>
      </c>
    </row>
    <row r="107" spans="2:90" ht="12.6" customHeight="1" x14ac:dyDescent="0.2">
      <c r="B107" s="22" t="s">
        <v>130</v>
      </c>
      <c r="D107" s="105">
        <v>0.9</v>
      </c>
      <c r="F107" s="57">
        <f>-MIN(-F95,0)*$D$107</f>
        <v>5868000</v>
      </c>
      <c r="G107" s="57">
        <f t="shared" ref="G107:H107" si="172">-MIN(G97,0)*$D$107</f>
        <v>29268.460500000008</v>
      </c>
      <c r="H107" s="57">
        <f t="shared" si="172"/>
        <v>0</v>
      </c>
      <c r="I107" s="64">
        <f t="shared" ref="I107:AL107" si="173">-MIN(I80,0)*$D$107</f>
        <v>0</v>
      </c>
      <c r="J107" s="64">
        <f t="shared" si="173"/>
        <v>0</v>
      </c>
      <c r="K107" s="64">
        <f t="shared" si="173"/>
        <v>0</v>
      </c>
      <c r="L107" s="64">
        <f t="shared" si="173"/>
        <v>0</v>
      </c>
      <c r="M107" s="64">
        <f t="shared" si="173"/>
        <v>0</v>
      </c>
      <c r="N107" s="64">
        <f t="shared" si="173"/>
        <v>0</v>
      </c>
      <c r="O107" s="64">
        <f t="shared" si="173"/>
        <v>0</v>
      </c>
      <c r="P107" s="64">
        <f t="shared" si="173"/>
        <v>0</v>
      </c>
      <c r="Q107" s="64">
        <f t="shared" si="173"/>
        <v>0</v>
      </c>
      <c r="R107" s="64">
        <f t="shared" si="173"/>
        <v>0</v>
      </c>
      <c r="S107" s="64">
        <f t="shared" si="173"/>
        <v>0</v>
      </c>
      <c r="T107" s="64">
        <f t="shared" si="173"/>
        <v>0</v>
      </c>
      <c r="U107" s="64">
        <f t="shared" si="173"/>
        <v>0</v>
      </c>
      <c r="V107" s="64">
        <f t="shared" si="173"/>
        <v>0</v>
      </c>
      <c r="W107" s="64">
        <f t="shared" si="173"/>
        <v>0</v>
      </c>
      <c r="X107" s="64">
        <f t="shared" si="173"/>
        <v>0</v>
      </c>
      <c r="Y107" s="64">
        <f t="shared" si="173"/>
        <v>0</v>
      </c>
      <c r="Z107" s="64">
        <f t="shared" si="173"/>
        <v>0</v>
      </c>
      <c r="AA107" s="64">
        <f t="shared" si="173"/>
        <v>0</v>
      </c>
      <c r="AB107" s="64">
        <f t="shared" si="173"/>
        <v>0</v>
      </c>
      <c r="AC107" s="64">
        <f t="shared" si="173"/>
        <v>0</v>
      </c>
      <c r="AD107" s="64">
        <f t="shared" si="173"/>
        <v>0</v>
      </c>
      <c r="AE107" s="64">
        <f t="shared" si="173"/>
        <v>0</v>
      </c>
      <c r="AF107" s="64">
        <f t="shared" si="173"/>
        <v>0</v>
      </c>
      <c r="AG107" s="64">
        <f t="shared" si="173"/>
        <v>0</v>
      </c>
      <c r="AH107" s="64">
        <f t="shared" si="173"/>
        <v>0</v>
      </c>
      <c r="AI107" s="64">
        <f t="shared" si="173"/>
        <v>0</v>
      </c>
      <c r="AJ107" s="64">
        <f t="shared" si="173"/>
        <v>0</v>
      </c>
      <c r="AK107" s="64">
        <f t="shared" si="173"/>
        <v>0</v>
      </c>
      <c r="AL107" s="64">
        <f t="shared" si="173"/>
        <v>0</v>
      </c>
      <c r="AM107" s="64">
        <f t="shared" ref="AM107:BR107" si="174">-MIN(AM80,0)*$D$107</f>
        <v>0</v>
      </c>
      <c r="AN107" s="64">
        <f t="shared" si="174"/>
        <v>0</v>
      </c>
      <c r="AO107" s="64">
        <f t="shared" si="174"/>
        <v>0</v>
      </c>
      <c r="AP107" s="64">
        <f t="shared" si="174"/>
        <v>0</v>
      </c>
      <c r="AQ107" s="64">
        <f t="shared" si="174"/>
        <v>0</v>
      </c>
      <c r="AR107" s="64">
        <f t="shared" si="174"/>
        <v>0</v>
      </c>
      <c r="AS107" s="64">
        <f t="shared" si="174"/>
        <v>0</v>
      </c>
      <c r="AT107" s="64">
        <f t="shared" si="174"/>
        <v>0</v>
      </c>
      <c r="AU107" s="64">
        <f t="shared" si="174"/>
        <v>0</v>
      </c>
      <c r="AV107" s="64">
        <f t="shared" si="174"/>
        <v>0</v>
      </c>
      <c r="AW107" s="64">
        <f t="shared" si="174"/>
        <v>0</v>
      </c>
      <c r="AX107" s="64">
        <f t="shared" si="174"/>
        <v>0</v>
      </c>
      <c r="AY107" s="64">
        <f t="shared" si="174"/>
        <v>0</v>
      </c>
      <c r="AZ107" s="64">
        <f t="shared" si="174"/>
        <v>0</v>
      </c>
      <c r="BA107" s="64">
        <f t="shared" si="174"/>
        <v>0</v>
      </c>
      <c r="BB107" s="64">
        <f t="shared" si="174"/>
        <v>0</v>
      </c>
      <c r="BC107" s="64">
        <f t="shared" si="174"/>
        <v>0</v>
      </c>
      <c r="BD107" s="64">
        <f t="shared" si="174"/>
        <v>0</v>
      </c>
      <c r="BE107" s="64">
        <f t="shared" si="174"/>
        <v>0</v>
      </c>
      <c r="BF107" s="64">
        <f t="shared" si="174"/>
        <v>0</v>
      </c>
      <c r="BG107" s="64">
        <f t="shared" si="174"/>
        <v>0</v>
      </c>
      <c r="BH107" s="64">
        <f t="shared" si="174"/>
        <v>0</v>
      </c>
      <c r="BI107" s="64">
        <f t="shared" si="174"/>
        <v>0</v>
      </c>
      <c r="BJ107" s="64">
        <f t="shared" si="174"/>
        <v>0</v>
      </c>
      <c r="BK107" s="64">
        <f t="shared" si="174"/>
        <v>0</v>
      </c>
      <c r="BL107" s="64">
        <f t="shared" si="174"/>
        <v>0</v>
      </c>
      <c r="BM107" s="64">
        <f t="shared" si="174"/>
        <v>0</v>
      </c>
      <c r="BN107" s="64">
        <f t="shared" si="174"/>
        <v>0</v>
      </c>
      <c r="BO107" s="64">
        <f t="shared" si="174"/>
        <v>0</v>
      </c>
      <c r="BP107" s="64">
        <f t="shared" si="174"/>
        <v>0</v>
      </c>
      <c r="BQ107" s="64">
        <f t="shared" si="174"/>
        <v>0</v>
      </c>
      <c r="BR107" s="64">
        <f t="shared" si="174"/>
        <v>0</v>
      </c>
      <c r="BS107" s="64">
        <f t="shared" ref="BS107:CL107" si="175">-MIN(BS80,0)*$D$107</f>
        <v>0</v>
      </c>
      <c r="BT107" s="64">
        <f t="shared" si="175"/>
        <v>0</v>
      </c>
      <c r="BU107" s="64">
        <f t="shared" si="175"/>
        <v>0</v>
      </c>
      <c r="BV107" s="64">
        <f t="shared" si="175"/>
        <v>0</v>
      </c>
      <c r="BW107" s="64">
        <f t="shared" si="175"/>
        <v>0</v>
      </c>
      <c r="BX107" s="64">
        <f t="shared" si="175"/>
        <v>0</v>
      </c>
      <c r="BY107" s="64">
        <f t="shared" si="175"/>
        <v>0</v>
      </c>
      <c r="BZ107" s="64">
        <f t="shared" si="175"/>
        <v>0</v>
      </c>
      <c r="CA107" s="64">
        <f t="shared" si="175"/>
        <v>0</v>
      </c>
      <c r="CB107" s="64">
        <f t="shared" si="175"/>
        <v>0</v>
      </c>
      <c r="CC107" s="64">
        <f t="shared" si="175"/>
        <v>0</v>
      </c>
      <c r="CD107" s="64">
        <f t="shared" si="175"/>
        <v>0</v>
      </c>
      <c r="CE107" s="64">
        <f t="shared" si="175"/>
        <v>0</v>
      </c>
      <c r="CF107" s="64">
        <f t="shared" si="175"/>
        <v>0</v>
      </c>
      <c r="CG107" s="64">
        <f t="shared" si="175"/>
        <v>0</v>
      </c>
      <c r="CH107" s="64">
        <f t="shared" si="175"/>
        <v>0</v>
      </c>
      <c r="CI107" s="64">
        <f t="shared" si="175"/>
        <v>0</v>
      </c>
      <c r="CJ107" s="64">
        <f t="shared" si="175"/>
        <v>0</v>
      </c>
      <c r="CK107" s="64">
        <f t="shared" si="175"/>
        <v>0</v>
      </c>
      <c r="CL107" s="64">
        <f t="shared" si="175"/>
        <v>0</v>
      </c>
    </row>
    <row r="108" spans="2:90" ht="12.6" customHeight="1" x14ac:dyDescent="0.2">
      <c r="B108" s="22" t="s">
        <v>131</v>
      </c>
      <c r="D108" s="105">
        <v>0.9</v>
      </c>
      <c r="F108" s="89">
        <f>MIN(MAX(F80,0)*$D$108,F105+F106)</f>
        <v>0</v>
      </c>
      <c r="G108" s="89">
        <f t="shared" ref="G108:AL108" si="176">MIN(MAX(G80,0)*$D$108,G105+G106)</f>
        <v>0</v>
      </c>
      <c r="H108" s="57">
        <f t="shared" si="176"/>
        <v>34121.539499999992</v>
      </c>
      <c r="I108" s="57">
        <f t="shared" si="176"/>
        <v>34121.539499999992</v>
      </c>
      <c r="J108" s="57">
        <f t="shared" si="176"/>
        <v>34121.539499999992</v>
      </c>
      <c r="K108" s="57">
        <f t="shared" si="176"/>
        <v>34121.539499999992</v>
      </c>
      <c r="L108" s="57">
        <f t="shared" si="176"/>
        <v>34121.539499999992</v>
      </c>
      <c r="M108" s="57">
        <f t="shared" si="176"/>
        <v>34121.539499999992</v>
      </c>
      <c r="N108" s="57">
        <f t="shared" si="176"/>
        <v>34121.539499999992</v>
      </c>
      <c r="O108" s="57">
        <f t="shared" si="176"/>
        <v>34121.539499999992</v>
      </c>
      <c r="P108" s="57">
        <f t="shared" si="176"/>
        <v>34121.539499999992</v>
      </c>
      <c r="Q108" s="57">
        <f t="shared" si="176"/>
        <v>34121.539499999992</v>
      </c>
      <c r="R108" s="57">
        <f t="shared" si="176"/>
        <v>34121.539499999992</v>
      </c>
      <c r="S108" s="57">
        <f t="shared" si="176"/>
        <v>70782.858341250016</v>
      </c>
      <c r="T108" s="57">
        <f t="shared" si="176"/>
        <v>70782.858341250016</v>
      </c>
      <c r="U108" s="57">
        <f t="shared" si="176"/>
        <v>70782.858341250016</v>
      </c>
      <c r="V108" s="57">
        <f t="shared" si="176"/>
        <v>70782.858341250016</v>
      </c>
      <c r="W108" s="57">
        <f t="shared" si="176"/>
        <v>70782.858341250016</v>
      </c>
      <c r="X108" s="57">
        <f t="shared" si="176"/>
        <v>70782.858341250016</v>
      </c>
      <c r="Y108" s="57">
        <f t="shared" si="176"/>
        <v>70782.858341250016</v>
      </c>
      <c r="Z108" s="57">
        <f t="shared" si="176"/>
        <v>70782.858341250016</v>
      </c>
      <c r="AA108" s="57">
        <f t="shared" si="176"/>
        <v>70782.858341250016</v>
      </c>
      <c r="AB108" s="57">
        <f t="shared" si="176"/>
        <v>70782.858341250016</v>
      </c>
      <c r="AC108" s="57">
        <f t="shared" si="176"/>
        <v>70782.858341250016</v>
      </c>
      <c r="AD108" s="57">
        <f t="shared" si="176"/>
        <v>70782.858341250016</v>
      </c>
      <c r="AE108" s="57">
        <f t="shared" si="176"/>
        <v>108872.73267143492</v>
      </c>
      <c r="AF108" s="57">
        <f t="shared" si="176"/>
        <v>108872.73267143493</v>
      </c>
      <c r="AG108" s="57">
        <f t="shared" si="176"/>
        <v>108872.73267143492</v>
      </c>
      <c r="AH108" s="57">
        <f t="shared" si="176"/>
        <v>108872.73267143492</v>
      </c>
      <c r="AI108" s="57">
        <f t="shared" si="176"/>
        <v>108872.7326714349</v>
      </c>
      <c r="AJ108" s="57">
        <f t="shared" si="176"/>
        <v>108872.73267143492</v>
      </c>
      <c r="AK108" s="57">
        <f t="shared" si="176"/>
        <v>108872.73267143493</v>
      </c>
      <c r="AL108" s="57">
        <f t="shared" si="176"/>
        <v>108872.73267143493</v>
      </c>
      <c r="AM108" s="57">
        <f t="shared" ref="AM108:BR108" si="177">MIN(MAX(AM80,0)*$D$108,AM105+AM106)</f>
        <v>108872.73267143493</v>
      </c>
      <c r="AN108" s="57">
        <f t="shared" si="177"/>
        <v>108872.73267143493</v>
      </c>
      <c r="AO108" s="57">
        <f t="shared" si="177"/>
        <v>108872.7326714349</v>
      </c>
      <c r="AP108" s="57">
        <f t="shared" si="177"/>
        <v>108872.7326714349</v>
      </c>
      <c r="AQ108" s="57">
        <f t="shared" si="177"/>
        <v>119872.85784300767</v>
      </c>
      <c r="AR108" s="57">
        <f t="shared" si="177"/>
        <v>119872.85784300767</v>
      </c>
      <c r="AS108" s="57">
        <f t="shared" si="177"/>
        <v>119872.8578430077</v>
      </c>
      <c r="AT108" s="57">
        <f t="shared" si="177"/>
        <v>119872.85784300767</v>
      </c>
      <c r="AU108" s="57">
        <f t="shared" si="177"/>
        <v>119872.8578430077</v>
      </c>
      <c r="AV108" s="57">
        <f t="shared" si="177"/>
        <v>119872.85784300767</v>
      </c>
      <c r="AW108" s="57">
        <f t="shared" si="177"/>
        <v>119872.8578430077</v>
      </c>
      <c r="AX108" s="57">
        <f t="shared" si="177"/>
        <v>119872.85784300767</v>
      </c>
      <c r="AY108" s="57">
        <f t="shared" si="177"/>
        <v>119872.8578430077</v>
      </c>
      <c r="AZ108" s="57">
        <f t="shared" si="177"/>
        <v>119872.8578430077</v>
      </c>
      <c r="BA108" s="57">
        <f t="shared" si="177"/>
        <v>119872.8578430077</v>
      </c>
      <c r="BB108" s="57">
        <f t="shared" si="177"/>
        <v>119872.85784300767</v>
      </c>
      <c r="BC108" s="57">
        <f t="shared" si="177"/>
        <v>125567.34397441502</v>
      </c>
      <c r="BD108" s="57">
        <f t="shared" si="177"/>
        <v>125567.34397441502</v>
      </c>
      <c r="BE108" s="57">
        <f t="shared" si="177"/>
        <v>125567.34397441502</v>
      </c>
      <c r="BF108" s="57">
        <f t="shared" si="177"/>
        <v>125567.34397441502</v>
      </c>
      <c r="BG108" s="57">
        <f t="shared" si="177"/>
        <v>125567.34397441504</v>
      </c>
      <c r="BH108" s="57">
        <f t="shared" si="177"/>
        <v>125567.34397441502</v>
      </c>
      <c r="BI108" s="57">
        <f t="shared" si="177"/>
        <v>125567.34397441502</v>
      </c>
      <c r="BJ108" s="57">
        <f t="shared" si="177"/>
        <v>125567.34397441502</v>
      </c>
      <c r="BK108" s="57">
        <f t="shared" si="177"/>
        <v>125567.34397441502</v>
      </c>
      <c r="BL108" s="57">
        <f t="shared" si="177"/>
        <v>125567.34397441502</v>
      </c>
      <c r="BM108" s="57">
        <f t="shared" si="177"/>
        <v>125567.34397441504</v>
      </c>
      <c r="BN108" s="57">
        <f t="shared" si="177"/>
        <v>125567.34397441502</v>
      </c>
      <c r="BO108" s="57">
        <f t="shared" si="177"/>
        <v>131435.3646897648</v>
      </c>
      <c r="BP108" s="57">
        <f t="shared" si="177"/>
        <v>131435.36468976477</v>
      </c>
      <c r="BQ108" s="57">
        <f t="shared" si="177"/>
        <v>131435.3646897648</v>
      </c>
      <c r="BR108" s="57">
        <f t="shared" si="177"/>
        <v>131435.36468976477</v>
      </c>
      <c r="BS108" s="57">
        <f t="shared" ref="BS108:CL108" si="178">MIN(MAX(BS80,0)*$D$108,BS105+BS106)</f>
        <v>131435.3646897648</v>
      </c>
      <c r="BT108" s="57">
        <f t="shared" si="178"/>
        <v>131435.3646897648</v>
      </c>
      <c r="BU108" s="57">
        <f t="shared" si="178"/>
        <v>131435.36468976477</v>
      </c>
      <c r="BV108" s="57">
        <f t="shared" si="178"/>
        <v>131435.36468976477</v>
      </c>
      <c r="BW108" s="57">
        <f t="shared" si="178"/>
        <v>131435.36468976477</v>
      </c>
      <c r="BX108" s="57">
        <f t="shared" si="178"/>
        <v>131435.3646897648</v>
      </c>
      <c r="BY108" s="57">
        <f t="shared" si="178"/>
        <v>131435.36468976477</v>
      </c>
      <c r="BZ108" s="57">
        <f t="shared" si="178"/>
        <v>131435.36468976477</v>
      </c>
      <c r="CA108" s="57">
        <f t="shared" si="178"/>
        <v>137459.62602657493</v>
      </c>
      <c r="CB108" s="57">
        <f t="shared" si="178"/>
        <v>137459.62602657493</v>
      </c>
      <c r="CC108" s="57">
        <f t="shared" si="178"/>
        <v>137459.62602657493</v>
      </c>
      <c r="CD108" s="57">
        <f t="shared" si="178"/>
        <v>137459.62602657493</v>
      </c>
      <c r="CE108" s="57">
        <f t="shared" si="178"/>
        <v>134621.5940905785</v>
      </c>
      <c r="CF108" s="64">
        <f t="shared" si="178"/>
        <v>0</v>
      </c>
      <c r="CG108" s="64">
        <f t="shared" si="178"/>
        <v>0</v>
      </c>
      <c r="CH108" s="64">
        <f t="shared" si="178"/>
        <v>0</v>
      </c>
      <c r="CI108" s="64">
        <f t="shared" si="178"/>
        <v>0</v>
      </c>
      <c r="CJ108" s="64">
        <f t="shared" si="178"/>
        <v>0</v>
      </c>
      <c r="CK108" s="64">
        <f t="shared" si="178"/>
        <v>0</v>
      </c>
      <c r="CL108" s="64">
        <f t="shared" si="178"/>
        <v>0</v>
      </c>
    </row>
    <row r="109" spans="2:90" ht="12.6" customHeight="1" x14ac:dyDescent="0.2">
      <c r="B109" s="22" t="s">
        <v>132</v>
      </c>
      <c r="F109" s="57">
        <f>F105+F106+F107-F108</f>
        <v>5868000</v>
      </c>
      <c r="G109" s="57">
        <f t="shared" ref="G109" si="179">G105+G106+G107-G108</f>
        <v>5933943.4605</v>
      </c>
      <c r="H109" s="57">
        <f t="shared" ref="H109:BS109" si="180">H105+H106+H107-H108</f>
        <v>5935692.1287134476</v>
      </c>
      <c r="I109" s="57">
        <f t="shared" si="180"/>
        <v>5937451.3674846459</v>
      </c>
      <c r="J109" s="57">
        <f t="shared" si="180"/>
        <v>5939221.2407117607</v>
      </c>
      <c r="K109" s="57">
        <f t="shared" si="180"/>
        <v>5941001.8126792163</v>
      </c>
      <c r="L109" s="57">
        <f t="shared" si="180"/>
        <v>5942793.1480600322</v>
      </c>
      <c r="M109" s="57">
        <f t="shared" si="180"/>
        <v>5944595.3119181711</v>
      </c>
      <c r="N109" s="57">
        <f t="shared" si="180"/>
        <v>5946408.3697109008</v>
      </c>
      <c r="O109" s="57">
        <f t="shared" si="180"/>
        <v>5948232.3872911735</v>
      </c>
      <c r="P109" s="57">
        <f t="shared" si="180"/>
        <v>5950067.4309100183</v>
      </c>
      <c r="Q109" s="57">
        <f t="shared" si="180"/>
        <v>5951913.5672189444</v>
      </c>
      <c r="R109" s="57">
        <f t="shared" si="180"/>
        <v>5953770.8632723661</v>
      </c>
      <c r="S109" s="57">
        <f t="shared" si="180"/>
        <v>5918978.0676887855</v>
      </c>
      <c r="T109" s="57">
        <f t="shared" si="180"/>
        <v>5883974.9524732735</v>
      </c>
      <c r="U109" s="57">
        <f t="shared" si="180"/>
        <v>5848760.2462606858</v>
      </c>
      <c r="V109" s="57">
        <f t="shared" si="180"/>
        <v>5813332.6700005783</v>
      </c>
      <c r="W109" s="57">
        <f t="shared" si="180"/>
        <v>5777690.9369107513</v>
      </c>
      <c r="X109" s="57">
        <f t="shared" si="180"/>
        <v>5741833.7524305116</v>
      </c>
      <c r="Y109" s="57">
        <f t="shared" si="180"/>
        <v>5705759.8141736491</v>
      </c>
      <c r="Z109" s="57">
        <f t="shared" si="180"/>
        <v>5669467.8118811371</v>
      </c>
      <c r="AA109" s="57">
        <f t="shared" si="180"/>
        <v>5632956.4273735369</v>
      </c>
      <c r="AB109" s="57">
        <f t="shared" si="180"/>
        <v>5596224.3345031235</v>
      </c>
      <c r="AC109" s="57">
        <f t="shared" si="180"/>
        <v>5559270.1991057163</v>
      </c>
      <c r="AD109" s="57">
        <f t="shared" si="180"/>
        <v>5522092.678952219</v>
      </c>
      <c r="AE109" s="57">
        <f t="shared" si="180"/>
        <v>5446600.5493696844</v>
      </c>
      <c r="AF109" s="57">
        <f t="shared" si="180"/>
        <v>5370652.0759768523</v>
      </c>
      <c r="AG109" s="57">
        <f t="shared" si="180"/>
        <v>5294244.5002123415</v>
      </c>
      <c r="AH109" s="57">
        <f t="shared" si="180"/>
        <v>5217375.0468394924</v>
      </c>
      <c r="AI109" s="57">
        <f t="shared" si="180"/>
        <v>5140040.9238455622</v>
      </c>
      <c r="AJ109" s="57">
        <f t="shared" si="180"/>
        <v>5062239.3223403189</v>
      </c>
      <c r="AK109" s="57">
        <f t="shared" si="180"/>
        <v>4983967.4164540162</v>
      </c>
      <c r="AL109" s="57">
        <f t="shared" si="180"/>
        <v>4905222.3632347537</v>
      </c>
      <c r="AM109" s="57">
        <f t="shared" si="180"/>
        <v>4826001.3025452178</v>
      </c>
      <c r="AN109" s="57">
        <f t="shared" si="180"/>
        <v>4746301.3569587953</v>
      </c>
      <c r="AO109" s="57">
        <f t="shared" si="180"/>
        <v>4666119.6316550625</v>
      </c>
      <c r="AP109" s="57">
        <f t="shared" si="180"/>
        <v>4585453.2143146405</v>
      </c>
      <c r="AQ109" s="57">
        <f t="shared" si="180"/>
        <v>4493299.0498418426</v>
      </c>
      <c r="AR109" s="57">
        <f t="shared" si="180"/>
        <v>4400587.8209070554</v>
      </c>
      <c r="AS109" s="57">
        <f t="shared" si="180"/>
        <v>4307316.1601007152</v>
      </c>
      <c r="AT109" s="57">
        <f t="shared" si="180"/>
        <v>4213480.6796575394</v>
      </c>
      <c r="AU109" s="57">
        <f t="shared" si="180"/>
        <v>4119077.9713334786</v>
      </c>
      <c r="AV109" s="57">
        <f t="shared" si="180"/>
        <v>4024104.6062819255</v>
      </c>
      <c r="AW109" s="57">
        <f t="shared" si="180"/>
        <v>3928557.1349291713</v>
      </c>
      <c r="AX109" s="57">
        <f t="shared" si="180"/>
        <v>3832432.0868491139</v>
      </c>
      <c r="AY109" s="57">
        <f t="shared" si="180"/>
        <v>3735725.9706372065</v>
      </c>
      <c r="AZ109" s="57">
        <f t="shared" si="180"/>
        <v>3638435.2737836442</v>
      </c>
      <c r="BA109" s="57">
        <f t="shared" si="180"/>
        <v>3540556.4625457851</v>
      </c>
      <c r="BB109" s="57">
        <f t="shared" si="180"/>
        <v>3442085.9818197992</v>
      </c>
      <c r="BC109" s="57">
        <f t="shared" si="180"/>
        <v>3337325.7688801344</v>
      </c>
      <c r="BD109" s="57">
        <f t="shared" si="180"/>
        <v>3231932.2889362816</v>
      </c>
      <c r="BE109" s="57">
        <f t="shared" si="180"/>
        <v>3125901.7139404798</v>
      </c>
      <c r="BF109" s="57">
        <f t="shared" si="180"/>
        <v>3019230.1927047293</v>
      </c>
      <c r="BG109" s="57">
        <f t="shared" si="180"/>
        <v>2911913.8507609107</v>
      </c>
      <c r="BH109" s="57">
        <f t="shared" si="180"/>
        <v>2803948.7902200585</v>
      </c>
      <c r="BI109" s="57">
        <f t="shared" si="180"/>
        <v>2695331.0896307845</v>
      </c>
      <c r="BJ109" s="57">
        <f t="shared" si="180"/>
        <v>2586056.8038368435</v>
      </c>
      <c r="BK109" s="57">
        <f t="shared" si="180"/>
        <v>2476121.9638338406</v>
      </c>
      <c r="BL109" s="57">
        <f t="shared" si="180"/>
        <v>2365522.576625071</v>
      </c>
      <c r="BM109" s="57">
        <f t="shared" si="180"/>
        <v>2254254.6250764881</v>
      </c>
      <c r="BN109" s="57">
        <f t="shared" si="180"/>
        <v>2142314.0677707954</v>
      </c>
      <c r="BO109" s="57">
        <f t="shared" si="180"/>
        <v>2023828.8181453061</v>
      </c>
      <c r="BP109" s="57">
        <f t="shared" si="180"/>
        <v>1904627.3347802577</v>
      </c>
      <c r="BQ109" s="57">
        <f t="shared" si="180"/>
        <v>1784705.288100692</v>
      </c>
      <c r="BR109" s="57">
        <f t="shared" si="180"/>
        <v>1664058.3223597212</v>
      </c>
      <c r="BS109" s="57">
        <f t="shared" si="180"/>
        <v>1542682.0554803195</v>
      </c>
      <c r="BT109" s="57">
        <f t="shared" ref="BT109:CL109" si="181">BT105+BT106+BT107-BT108</f>
        <v>1420572.0788961612</v>
      </c>
      <c r="BU109" s="57">
        <f t="shared" si="181"/>
        <v>1297723.9573914935</v>
      </c>
      <c r="BV109" s="57">
        <f t="shared" si="181"/>
        <v>1174133.2289400436</v>
      </c>
      <c r="BW109" s="57">
        <f t="shared" si="181"/>
        <v>1049795.4045429516</v>
      </c>
      <c r="BX109" s="57">
        <f t="shared" si="181"/>
        <v>924705.96806572261</v>
      </c>
      <c r="BY109" s="57">
        <f t="shared" si="181"/>
        <v>798860.37607419444</v>
      </c>
      <c r="BZ109" s="57">
        <f t="shared" si="181"/>
        <v>672254.05766951339</v>
      </c>
      <c r="CA109" s="57">
        <f t="shared" si="181"/>
        <v>538858.15298530227</v>
      </c>
      <c r="CB109" s="57">
        <f t="shared" si="181"/>
        <v>404655.88085910288</v>
      </c>
      <c r="CC109" s="57">
        <f t="shared" si="181"/>
        <v>269642.36686502467</v>
      </c>
      <c r="CD109" s="57">
        <f t="shared" si="181"/>
        <v>133812.7071116672</v>
      </c>
      <c r="CE109" s="64">
        <f t="shared" si="181"/>
        <v>0</v>
      </c>
      <c r="CF109" s="64">
        <f t="shared" si="181"/>
        <v>0</v>
      </c>
      <c r="CG109" s="64">
        <f t="shared" si="181"/>
        <v>0</v>
      </c>
      <c r="CH109" s="64">
        <f t="shared" si="181"/>
        <v>0</v>
      </c>
      <c r="CI109" s="64">
        <f t="shared" si="181"/>
        <v>0</v>
      </c>
      <c r="CJ109" s="64">
        <f t="shared" si="181"/>
        <v>0</v>
      </c>
      <c r="CK109" s="64">
        <f t="shared" si="181"/>
        <v>0</v>
      </c>
      <c r="CL109" s="64">
        <f t="shared" si="181"/>
        <v>0</v>
      </c>
    </row>
    <row r="110" spans="2:90" ht="12.6" customHeight="1" x14ac:dyDescent="0.2">
      <c r="B110" s="22" t="s">
        <v>136</v>
      </c>
      <c r="D110" s="133">
        <f>XIRR(F110:CL110,F7:CL7)</f>
        <v>7.5116142630577101E-2</v>
      </c>
      <c r="F110" s="57">
        <f>-F107+F108</f>
        <v>-5868000</v>
      </c>
      <c r="G110" s="57">
        <f t="shared" ref="G110:BR110" si="182">-G107+G108</f>
        <v>-29268.460500000008</v>
      </c>
      <c r="H110" s="57">
        <f t="shared" si="182"/>
        <v>34121.539499999992</v>
      </c>
      <c r="I110" s="57">
        <f t="shared" si="182"/>
        <v>34121.539499999992</v>
      </c>
      <c r="J110" s="57">
        <f t="shared" si="182"/>
        <v>34121.539499999992</v>
      </c>
      <c r="K110" s="57">
        <f t="shared" si="182"/>
        <v>34121.539499999992</v>
      </c>
      <c r="L110" s="57">
        <f t="shared" si="182"/>
        <v>34121.539499999992</v>
      </c>
      <c r="M110" s="57">
        <f t="shared" si="182"/>
        <v>34121.539499999992</v>
      </c>
      <c r="N110" s="57">
        <f t="shared" si="182"/>
        <v>34121.539499999992</v>
      </c>
      <c r="O110" s="57">
        <f t="shared" si="182"/>
        <v>34121.539499999992</v>
      </c>
      <c r="P110" s="57">
        <f t="shared" si="182"/>
        <v>34121.539499999992</v>
      </c>
      <c r="Q110" s="57">
        <f t="shared" si="182"/>
        <v>34121.539499999992</v>
      </c>
      <c r="R110" s="57">
        <f t="shared" si="182"/>
        <v>34121.539499999992</v>
      </c>
      <c r="S110" s="57">
        <f t="shared" si="182"/>
        <v>70782.858341250016</v>
      </c>
      <c r="T110" s="57">
        <f t="shared" si="182"/>
        <v>70782.858341250016</v>
      </c>
      <c r="U110" s="57">
        <f t="shared" si="182"/>
        <v>70782.858341250016</v>
      </c>
      <c r="V110" s="57">
        <f t="shared" si="182"/>
        <v>70782.858341250016</v>
      </c>
      <c r="W110" s="57">
        <f t="shared" si="182"/>
        <v>70782.858341250016</v>
      </c>
      <c r="X110" s="57">
        <f t="shared" si="182"/>
        <v>70782.858341250016</v>
      </c>
      <c r="Y110" s="57">
        <f t="shared" si="182"/>
        <v>70782.858341250016</v>
      </c>
      <c r="Z110" s="57">
        <f t="shared" si="182"/>
        <v>70782.858341250016</v>
      </c>
      <c r="AA110" s="57">
        <f t="shared" si="182"/>
        <v>70782.858341250016</v>
      </c>
      <c r="AB110" s="57">
        <f t="shared" si="182"/>
        <v>70782.858341250016</v>
      </c>
      <c r="AC110" s="57">
        <f t="shared" si="182"/>
        <v>70782.858341250016</v>
      </c>
      <c r="AD110" s="57">
        <f t="shared" si="182"/>
        <v>70782.858341250016</v>
      </c>
      <c r="AE110" s="57">
        <f t="shared" si="182"/>
        <v>108872.73267143492</v>
      </c>
      <c r="AF110" s="57">
        <f t="shared" si="182"/>
        <v>108872.73267143493</v>
      </c>
      <c r="AG110" s="57">
        <f t="shared" si="182"/>
        <v>108872.73267143492</v>
      </c>
      <c r="AH110" s="57">
        <f t="shared" si="182"/>
        <v>108872.73267143492</v>
      </c>
      <c r="AI110" s="57">
        <f t="shared" si="182"/>
        <v>108872.7326714349</v>
      </c>
      <c r="AJ110" s="57">
        <f t="shared" si="182"/>
        <v>108872.73267143492</v>
      </c>
      <c r="AK110" s="57">
        <f t="shared" si="182"/>
        <v>108872.73267143493</v>
      </c>
      <c r="AL110" s="57">
        <f t="shared" si="182"/>
        <v>108872.73267143493</v>
      </c>
      <c r="AM110" s="57">
        <f t="shared" si="182"/>
        <v>108872.73267143493</v>
      </c>
      <c r="AN110" s="57">
        <f t="shared" si="182"/>
        <v>108872.73267143493</v>
      </c>
      <c r="AO110" s="57">
        <f t="shared" si="182"/>
        <v>108872.7326714349</v>
      </c>
      <c r="AP110" s="57">
        <f t="shared" si="182"/>
        <v>108872.7326714349</v>
      </c>
      <c r="AQ110" s="57">
        <f t="shared" si="182"/>
        <v>119872.85784300767</v>
      </c>
      <c r="AR110" s="57">
        <f t="shared" si="182"/>
        <v>119872.85784300767</v>
      </c>
      <c r="AS110" s="57">
        <f t="shared" si="182"/>
        <v>119872.8578430077</v>
      </c>
      <c r="AT110" s="57">
        <f t="shared" si="182"/>
        <v>119872.85784300767</v>
      </c>
      <c r="AU110" s="57">
        <f t="shared" si="182"/>
        <v>119872.8578430077</v>
      </c>
      <c r="AV110" s="57">
        <f t="shared" si="182"/>
        <v>119872.85784300767</v>
      </c>
      <c r="AW110" s="57">
        <f t="shared" si="182"/>
        <v>119872.8578430077</v>
      </c>
      <c r="AX110" s="57">
        <f t="shared" si="182"/>
        <v>119872.85784300767</v>
      </c>
      <c r="AY110" s="57">
        <f t="shared" si="182"/>
        <v>119872.8578430077</v>
      </c>
      <c r="AZ110" s="57">
        <f t="shared" si="182"/>
        <v>119872.8578430077</v>
      </c>
      <c r="BA110" s="57">
        <f t="shared" si="182"/>
        <v>119872.8578430077</v>
      </c>
      <c r="BB110" s="57">
        <f t="shared" si="182"/>
        <v>119872.85784300767</v>
      </c>
      <c r="BC110" s="57">
        <f t="shared" si="182"/>
        <v>125567.34397441502</v>
      </c>
      <c r="BD110" s="57">
        <f t="shared" si="182"/>
        <v>125567.34397441502</v>
      </c>
      <c r="BE110" s="57">
        <f t="shared" si="182"/>
        <v>125567.34397441502</v>
      </c>
      <c r="BF110" s="57">
        <f t="shared" si="182"/>
        <v>125567.34397441502</v>
      </c>
      <c r="BG110" s="57">
        <f t="shared" si="182"/>
        <v>125567.34397441504</v>
      </c>
      <c r="BH110" s="57">
        <f t="shared" si="182"/>
        <v>125567.34397441502</v>
      </c>
      <c r="BI110" s="57">
        <f t="shared" si="182"/>
        <v>125567.34397441502</v>
      </c>
      <c r="BJ110" s="57">
        <f t="shared" si="182"/>
        <v>125567.34397441502</v>
      </c>
      <c r="BK110" s="57">
        <f t="shared" si="182"/>
        <v>125567.34397441502</v>
      </c>
      <c r="BL110" s="57">
        <f t="shared" si="182"/>
        <v>125567.34397441502</v>
      </c>
      <c r="BM110" s="57">
        <f t="shared" si="182"/>
        <v>125567.34397441504</v>
      </c>
      <c r="BN110" s="57">
        <f t="shared" si="182"/>
        <v>125567.34397441502</v>
      </c>
      <c r="BO110" s="57">
        <f t="shared" si="182"/>
        <v>131435.3646897648</v>
      </c>
      <c r="BP110" s="57">
        <f t="shared" si="182"/>
        <v>131435.36468976477</v>
      </c>
      <c r="BQ110" s="57">
        <f t="shared" si="182"/>
        <v>131435.3646897648</v>
      </c>
      <c r="BR110" s="57">
        <f t="shared" si="182"/>
        <v>131435.36468976477</v>
      </c>
      <c r="BS110" s="57">
        <f t="shared" ref="BS110:CL110" si="183">-BS107+BS108</f>
        <v>131435.3646897648</v>
      </c>
      <c r="BT110" s="57">
        <f t="shared" si="183"/>
        <v>131435.3646897648</v>
      </c>
      <c r="BU110" s="57">
        <f t="shared" si="183"/>
        <v>131435.36468976477</v>
      </c>
      <c r="BV110" s="57">
        <f t="shared" si="183"/>
        <v>131435.36468976477</v>
      </c>
      <c r="BW110" s="57">
        <f t="shared" si="183"/>
        <v>131435.36468976477</v>
      </c>
      <c r="BX110" s="57">
        <f t="shared" si="183"/>
        <v>131435.3646897648</v>
      </c>
      <c r="BY110" s="57">
        <f t="shared" si="183"/>
        <v>131435.36468976477</v>
      </c>
      <c r="BZ110" s="57">
        <f t="shared" si="183"/>
        <v>131435.36468976477</v>
      </c>
      <c r="CA110" s="57">
        <f t="shared" si="183"/>
        <v>137459.62602657493</v>
      </c>
      <c r="CB110" s="57">
        <f t="shared" si="183"/>
        <v>137459.62602657493</v>
      </c>
      <c r="CC110" s="57">
        <f t="shared" si="183"/>
        <v>137459.62602657493</v>
      </c>
      <c r="CD110" s="57">
        <f t="shared" si="183"/>
        <v>137459.62602657493</v>
      </c>
      <c r="CE110" s="57">
        <f t="shared" si="183"/>
        <v>134621.5940905785</v>
      </c>
      <c r="CF110" s="64">
        <f t="shared" si="183"/>
        <v>0</v>
      </c>
      <c r="CG110" s="64">
        <f t="shared" si="183"/>
        <v>0</v>
      </c>
      <c r="CH110" s="64">
        <f t="shared" si="183"/>
        <v>0</v>
      </c>
      <c r="CI110" s="64">
        <f t="shared" si="183"/>
        <v>0</v>
      </c>
      <c r="CJ110" s="64">
        <f t="shared" si="183"/>
        <v>0</v>
      </c>
      <c r="CK110" s="64">
        <f t="shared" si="183"/>
        <v>0</v>
      </c>
      <c r="CL110" s="64">
        <f t="shared" si="183"/>
        <v>0</v>
      </c>
    </row>
    <row r="111" spans="2:90" ht="12.6" customHeight="1" x14ac:dyDescent="0.2">
      <c r="CF111" s="64"/>
      <c r="CG111" s="64"/>
      <c r="CH111" s="64"/>
      <c r="CI111" s="64"/>
      <c r="CJ111" s="64"/>
      <c r="CK111" s="64"/>
      <c r="CL111" s="64"/>
    </row>
    <row r="112" spans="2:90" ht="12.6" customHeight="1" x14ac:dyDescent="0.2">
      <c r="B112" s="22" t="s">
        <v>133</v>
      </c>
      <c r="D112" s="105">
        <v>0.1</v>
      </c>
      <c r="F112" s="57">
        <f>-MIN(-F95,0)*$D$112</f>
        <v>652000</v>
      </c>
      <c r="G112" s="57">
        <f>-MIN(G97,0)*$D$112</f>
        <v>3252.051166666668</v>
      </c>
      <c r="H112" s="64">
        <f t="shared" ref="H112:BS112" si="184">-MIN(H97,0)*$D$112</f>
        <v>0</v>
      </c>
      <c r="I112" s="64">
        <f t="shared" si="184"/>
        <v>0</v>
      </c>
      <c r="J112" s="64">
        <f t="shared" si="184"/>
        <v>0</v>
      </c>
      <c r="K112" s="64">
        <f t="shared" si="184"/>
        <v>0</v>
      </c>
      <c r="L112" s="64">
        <f t="shared" si="184"/>
        <v>0</v>
      </c>
      <c r="M112" s="64">
        <f t="shared" si="184"/>
        <v>0</v>
      </c>
      <c r="N112" s="64">
        <f t="shared" si="184"/>
        <v>0</v>
      </c>
      <c r="O112" s="64">
        <f t="shared" si="184"/>
        <v>0</v>
      </c>
      <c r="P112" s="64">
        <f t="shared" si="184"/>
        <v>0</v>
      </c>
      <c r="Q112" s="64">
        <f t="shared" si="184"/>
        <v>0</v>
      </c>
      <c r="R112" s="64">
        <f t="shared" si="184"/>
        <v>0</v>
      </c>
      <c r="S112" s="64">
        <f t="shared" si="184"/>
        <v>0</v>
      </c>
      <c r="T112" s="64">
        <f t="shared" si="184"/>
        <v>0</v>
      </c>
      <c r="U112" s="64">
        <f t="shared" si="184"/>
        <v>0</v>
      </c>
      <c r="V112" s="64">
        <f t="shared" si="184"/>
        <v>0</v>
      </c>
      <c r="W112" s="64">
        <f t="shared" si="184"/>
        <v>0</v>
      </c>
      <c r="X112" s="64">
        <f t="shared" si="184"/>
        <v>0</v>
      </c>
      <c r="Y112" s="64">
        <f t="shared" si="184"/>
        <v>0</v>
      </c>
      <c r="Z112" s="64">
        <f t="shared" si="184"/>
        <v>0</v>
      </c>
      <c r="AA112" s="64">
        <f t="shared" si="184"/>
        <v>0</v>
      </c>
      <c r="AB112" s="64">
        <f t="shared" si="184"/>
        <v>0</v>
      </c>
      <c r="AC112" s="64">
        <f t="shared" si="184"/>
        <v>0</v>
      </c>
      <c r="AD112" s="64">
        <f t="shared" si="184"/>
        <v>0</v>
      </c>
      <c r="AE112" s="64">
        <f t="shared" si="184"/>
        <v>0</v>
      </c>
      <c r="AF112" s="64">
        <f t="shared" si="184"/>
        <v>0</v>
      </c>
      <c r="AG112" s="64">
        <f t="shared" si="184"/>
        <v>0</v>
      </c>
      <c r="AH112" s="64">
        <f t="shared" si="184"/>
        <v>0</v>
      </c>
      <c r="AI112" s="64">
        <f t="shared" si="184"/>
        <v>0</v>
      </c>
      <c r="AJ112" s="64">
        <f t="shared" si="184"/>
        <v>0</v>
      </c>
      <c r="AK112" s="64">
        <f t="shared" si="184"/>
        <v>0</v>
      </c>
      <c r="AL112" s="64">
        <f t="shared" si="184"/>
        <v>0</v>
      </c>
      <c r="AM112" s="64">
        <f t="shared" si="184"/>
        <v>0</v>
      </c>
      <c r="AN112" s="64">
        <f t="shared" si="184"/>
        <v>0</v>
      </c>
      <c r="AO112" s="64">
        <f t="shared" si="184"/>
        <v>0</v>
      </c>
      <c r="AP112" s="64">
        <f t="shared" si="184"/>
        <v>0</v>
      </c>
      <c r="AQ112" s="64">
        <f t="shared" si="184"/>
        <v>0</v>
      </c>
      <c r="AR112" s="64">
        <f t="shared" si="184"/>
        <v>0</v>
      </c>
      <c r="AS112" s="64">
        <f t="shared" si="184"/>
        <v>0</v>
      </c>
      <c r="AT112" s="64">
        <f t="shared" si="184"/>
        <v>0</v>
      </c>
      <c r="AU112" s="64">
        <f t="shared" si="184"/>
        <v>0</v>
      </c>
      <c r="AV112" s="64">
        <f t="shared" si="184"/>
        <v>0</v>
      </c>
      <c r="AW112" s="64">
        <f t="shared" si="184"/>
        <v>0</v>
      </c>
      <c r="AX112" s="64">
        <f t="shared" si="184"/>
        <v>0</v>
      </c>
      <c r="AY112" s="64">
        <f t="shared" si="184"/>
        <v>0</v>
      </c>
      <c r="AZ112" s="64">
        <f t="shared" si="184"/>
        <v>0</v>
      </c>
      <c r="BA112" s="64">
        <f t="shared" si="184"/>
        <v>0</v>
      </c>
      <c r="BB112" s="64">
        <f t="shared" si="184"/>
        <v>0</v>
      </c>
      <c r="BC112" s="64">
        <f t="shared" si="184"/>
        <v>0</v>
      </c>
      <c r="BD112" s="64">
        <f t="shared" si="184"/>
        <v>0</v>
      </c>
      <c r="BE112" s="64">
        <f t="shared" si="184"/>
        <v>0</v>
      </c>
      <c r="BF112" s="64">
        <f t="shared" si="184"/>
        <v>0</v>
      </c>
      <c r="BG112" s="64">
        <f t="shared" si="184"/>
        <v>0</v>
      </c>
      <c r="BH112" s="64">
        <f t="shared" si="184"/>
        <v>0</v>
      </c>
      <c r="BI112" s="64">
        <f t="shared" si="184"/>
        <v>0</v>
      </c>
      <c r="BJ112" s="64">
        <f t="shared" si="184"/>
        <v>0</v>
      </c>
      <c r="BK112" s="64">
        <f t="shared" si="184"/>
        <v>0</v>
      </c>
      <c r="BL112" s="64">
        <f t="shared" si="184"/>
        <v>0</v>
      </c>
      <c r="BM112" s="64">
        <f t="shared" si="184"/>
        <v>0</v>
      </c>
      <c r="BN112" s="64">
        <f t="shared" si="184"/>
        <v>0</v>
      </c>
      <c r="BO112" s="64">
        <f t="shared" si="184"/>
        <v>0</v>
      </c>
      <c r="BP112" s="64">
        <f t="shared" si="184"/>
        <v>0</v>
      </c>
      <c r="BQ112" s="64">
        <f t="shared" si="184"/>
        <v>0</v>
      </c>
      <c r="BR112" s="64">
        <f t="shared" si="184"/>
        <v>0</v>
      </c>
      <c r="BS112" s="64">
        <f t="shared" si="184"/>
        <v>0</v>
      </c>
      <c r="BT112" s="64">
        <f t="shared" ref="BT112:CL112" si="185">-MIN(BT97,0)*$D$112</f>
        <v>0</v>
      </c>
      <c r="BU112" s="64">
        <f t="shared" si="185"/>
        <v>0</v>
      </c>
      <c r="BV112" s="64">
        <f t="shared" si="185"/>
        <v>0</v>
      </c>
      <c r="BW112" s="64">
        <f t="shared" si="185"/>
        <v>0</v>
      </c>
      <c r="BX112" s="64">
        <f t="shared" si="185"/>
        <v>0</v>
      </c>
      <c r="BY112" s="64">
        <f t="shared" si="185"/>
        <v>0</v>
      </c>
      <c r="BZ112" s="64">
        <f t="shared" si="185"/>
        <v>0</v>
      </c>
      <c r="CA112" s="64">
        <f t="shared" si="185"/>
        <v>0</v>
      </c>
      <c r="CB112" s="64">
        <f t="shared" si="185"/>
        <v>0</v>
      </c>
      <c r="CC112" s="64">
        <f t="shared" si="185"/>
        <v>0</v>
      </c>
      <c r="CD112" s="64">
        <f t="shared" si="185"/>
        <v>0</v>
      </c>
      <c r="CE112" s="64">
        <f t="shared" si="185"/>
        <v>0</v>
      </c>
      <c r="CF112" s="64">
        <f t="shared" si="185"/>
        <v>0</v>
      </c>
      <c r="CG112" s="64">
        <f t="shared" si="185"/>
        <v>0</v>
      </c>
      <c r="CH112" s="64">
        <f t="shared" si="185"/>
        <v>0</v>
      </c>
      <c r="CI112" s="64">
        <f t="shared" si="185"/>
        <v>0</v>
      </c>
      <c r="CJ112" s="64">
        <f t="shared" si="185"/>
        <v>0</v>
      </c>
      <c r="CK112" s="64">
        <f t="shared" si="185"/>
        <v>0</v>
      </c>
      <c r="CL112" s="64">
        <f t="shared" si="185"/>
        <v>0</v>
      </c>
    </row>
    <row r="113" spans="2:90" ht="12.6" customHeight="1" x14ac:dyDescent="0.2">
      <c r="B113" s="22" t="s">
        <v>134</v>
      </c>
      <c r="D113" s="105">
        <v>0.1</v>
      </c>
      <c r="F113" s="89">
        <f>F108/$D$108*$D$113</f>
        <v>0</v>
      </c>
      <c r="G113" s="89">
        <f>G108/$D$108*$D$113</f>
        <v>0</v>
      </c>
      <c r="H113" s="57">
        <f t="shared" ref="H113:BS113" si="186">H108/$D$108*$D$113</f>
        <v>3791.2821666666659</v>
      </c>
      <c r="I113" s="57">
        <f t="shared" si="186"/>
        <v>3791.2821666666659</v>
      </c>
      <c r="J113" s="57">
        <f t="shared" si="186"/>
        <v>3791.2821666666659</v>
      </c>
      <c r="K113" s="57">
        <f t="shared" si="186"/>
        <v>3791.2821666666659</v>
      </c>
      <c r="L113" s="57">
        <f t="shared" si="186"/>
        <v>3791.2821666666659</v>
      </c>
      <c r="M113" s="57">
        <f t="shared" si="186"/>
        <v>3791.2821666666659</v>
      </c>
      <c r="N113" s="57">
        <f t="shared" si="186"/>
        <v>3791.2821666666659</v>
      </c>
      <c r="O113" s="57">
        <f t="shared" si="186"/>
        <v>3791.2821666666659</v>
      </c>
      <c r="P113" s="57">
        <f t="shared" si="186"/>
        <v>3791.2821666666659</v>
      </c>
      <c r="Q113" s="57">
        <f t="shared" si="186"/>
        <v>3791.2821666666659</v>
      </c>
      <c r="R113" s="57">
        <f t="shared" si="186"/>
        <v>3791.2821666666659</v>
      </c>
      <c r="S113" s="57">
        <f t="shared" si="186"/>
        <v>7864.7620379166683</v>
      </c>
      <c r="T113" s="57">
        <f t="shared" si="186"/>
        <v>7864.7620379166683</v>
      </c>
      <c r="U113" s="57">
        <f t="shared" si="186"/>
        <v>7864.7620379166683</v>
      </c>
      <c r="V113" s="57">
        <f t="shared" si="186"/>
        <v>7864.7620379166683</v>
      </c>
      <c r="W113" s="57">
        <f t="shared" si="186"/>
        <v>7864.7620379166683</v>
      </c>
      <c r="X113" s="57">
        <f t="shared" si="186"/>
        <v>7864.7620379166683</v>
      </c>
      <c r="Y113" s="57">
        <f t="shared" si="186"/>
        <v>7864.7620379166683</v>
      </c>
      <c r="Z113" s="57">
        <f t="shared" si="186"/>
        <v>7864.7620379166683</v>
      </c>
      <c r="AA113" s="57">
        <f t="shared" si="186"/>
        <v>7864.7620379166683</v>
      </c>
      <c r="AB113" s="57">
        <f t="shared" si="186"/>
        <v>7864.7620379166683</v>
      </c>
      <c r="AC113" s="57">
        <f t="shared" si="186"/>
        <v>7864.7620379166683</v>
      </c>
      <c r="AD113" s="57">
        <f t="shared" si="186"/>
        <v>7864.7620379166683</v>
      </c>
      <c r="AE113" s="57">
        <f t="shared" si="186"/>
        <v>12096.970296826103</v>
      </c>
      <c r="AF113" s="57">
        <f t="shared" si="186"/>
        <v>12096.970296826104</v>
      </c>
      <c r="AG113" s="57">
        <f t="shared" si="186"/>
        <v>12096.970296826103</v>
      </c>
      <c r="AH113" s="57">
        <f t="shared" si="186"/>
        <v>12096.970296826103</v>
      </c>
      <c r="AI113" s="57">
        <f t="shared" si="186"/>
        <v>12096.970296826101</v>
      </c>
      <c r="AJ113" s="57">
        <f t="shared" si="186"/>
        <v>12096.970296826103</v>
      </c>
      <c r="AK113" s="57">
        <f t="shared" si="186"/>
        <v>12096.970296826104</v>
      </c>
      <c r="AL113" s="57">
        <f t="shared" si="186"/>
        <v>12096.970296826104</v>
      </c>
      <c r="AM113" s="57">
        <f t="shared" si="186"/>
        <v>12096.970296826104</v>
      </c>
      <c r="AN113" s="57">
        <f t="shared" si="186"/>
        <v>12096.970296826104</v>
      </c>
      <c r="AO113" s="57">
        <f t="shared" si="186"/>
        <v>12096.970296826101</v>
      </c>
      <c r="AP113" s="57">
        <f t="shared" si="186"/>
        <v>12096.970296826101</v>
      </c>
      <c r="AQ113" s="57">
        <f t="shared" si="186"/>
        <v>13319.206427000854</v>
      </c>
      <c r="AR113" s="57">
        <f t="shared" si="186"/>
        <v>13319.206427000854</v>
      </c>
      <c r="AS113" s="57">
        <f t="shared" si="186"/>
        <v>13319.206427000856</v>
      </c>
      <c r="AT113" s="57">
        <f t="shared" si="186"/>
        <v>13319.206427000854</v>
      </c>
      <c r="AU113" s="57">
        <f t="shared" si="186"/>
        <v>13319.206427000856</v>
      </c>
      <c r="AV113" s="57">
        <f t="shared" si="186"/>
        <v>13319.206427000854</v>
      </c>
      <c r="AW113" s="57">
        <f t="shared" si="186"/>
        <v>13319.206427000856</v>
      </c>
      <c r="AX113" s="57">
        <f t="shared" si="186"/>
        <v>13319.206427000854</v>
      </c>
      <c r="AY113" s="57">
        <f t="shared" si="186"/>
        <v>13319.206427000856</v>
      </c>
      <c r="AZ113" s="57">
        <f t="shared" si="186"/>
        <v>13319.206427000856</v>
      </c>
      <c r="BA113" s="57">
        <f t="shared" si="186"/>
        <v>13319.206427000856</v>
      </c>
      <c r="BB113" s="57">
        <f t="shared" si="186"/>
        <v>13319.206427000854</v>
      </c>
      <c r="BC113" s="57">
        <f t="shared" si="186"/>
        <v>13951.927108268335</v>
      </c>
      <c r="BD113" s="57">
        <f t="shared" si="186"/>
        <v>13951.927108268335</v>
      </c>
      <c r="BE113" s="57">
        <f t="shared" si="186"/>
        <v>13951.927108268335</v>
      </c>
      <c r="BF113" s="57">
        <f t="shared" si="186"/>
        <v>13951.927108268335</v>
      </c>
      <c r="BG113" s="57">
        <f t="shared" si="186"/>
        <v>13951.927108268339</v>
      </c>
      <c r="BH113" s="57">
        <f t="shared" si="186"/>
        <v>13951.927108268335</v>
      </c>
      <c r="BI113" s="57">
        <f t="shared" si="186"/>
        <v>13951.927108268335</v>
      </c>
      <c r="BJ113" s="57">
        <f t="shared" si="186"/>
        <v>13951.927108268335</v>
      </c>
      <c r="BK113" s="57">
        <f t="shared" si="186"/>
        <v>13951.927108268335</v>
      </c>
      <c r="BL113" s="57">
        <f t="shared" si="186"/>
        <v>13951.927108268335</v>
      </c>
      <c r="BM113" s="57">
        <f t="shared" si="186"/>
        <v>13951.927108268339</v>
      </c>
      <c r="BN113" s="57">
        <f t="shared" si="186"/>
        <v>13951.927108268335</v>
      </c>
      <c r="BO113" s="57">
        <f t="shared" si="186"/>
        <v>14603.929409973869</v>
      </c>
      <c r="BP113" s="57">
        <f t="shared" si="186"/>
        <v>14603.929409973862</v>
      </c>
      <c r="BQ113" s="57">
        <f t="shared" si="186"/>
        <v>14603.929409973869</v>
      </c>
      <c r="BR113" s="57">
        <f t="shared" si="186"/>
        <v>14603.929409973862</v>
      </c>
      <c r="BS113" s="57">
        <f t="shared" si="186"/>
        <v>14603.929409973869</v>
      </c>
      <c r="BT113" s="57">
        <f t="shared" ref="BT113:CL113" si="187">BT108/$D$108*$D$113</f>
        <v>14603.929409973869</v>
      </c>
      <c r="BU113" s="57">
        <f t="shared" si="187"/>
        <v>14603.929409973862</v>
      </c>
      <c r="BV113" s="57">
        <f t="shared" si="187"/>
        <v>14603.929409973862</v>
      </c>
      <c r="BW113" s="57">
        <f t="shared" si="187"/>
        <v>14603.929409973862</v>
      </c>
      <c r="BX113" s="57">
        <f t="shared" si="187"/>
        <v>14603.929409973869</v>
      </c>
      <c r="BY113" s="57">
        <f t="shared" si="187"/>
        <v>14603.929409973862</v>
      </c>
      <c r="BZ113" s="57">
        <f t="shared" si="187"/>
        <v>14603.929409973862</v>
      </c>
      <c r="CA113" s="57">
        <f t="shared" si="187"/>
        <v>15273.291780730548</v>
      </c>
      <c r="CB113" s="57">
        <f t="shared" si="187"/>
        <v>15273.291780730548</v>
      </c>
      <c r="CC113" s="57">
        <f t="shared" si="187"/>
        <v>15273.291780730548</v>
      </c>
      <c r="CD113" s="57">
        <f t="shared" si="187"/>
        <v>15273.291780730548</v>
      </c>
      <c r="CE113" s="57">
        <f t="shared" si="187"/>
        <v>14957.954898953169</v>
      </c>
      <c r="CF113" s="64">
        <f t="shared" si="187"/>
        <v>0</v>
      </c>
      <c r="CG113" s="64">
        <f t="shared" si="187"/>
        <v>0</v>
      </c>
      <c r="CH113" s="64">
        <f t="shared" si="187"/>
        <v>0</v>
      </c>
      <c r="CI113" s="64">
        <f t="shared" si="187"/>
        <v>0</v>
      </c>
      <c r="CJ113" s="64">
        <f t="shared" si="187"/>
        <v>0</v>
      </c>
      <c r="CK113" s="64">
        <f t="shared" si="187"/>
        <v>0</v>
      </c>
      <c r="CL113" s="64">
        <f t="shared" si="187"/>
        <v>0</v>
      </c>
    </row>
    <row r="114" spans="2:90" ht="12.6" customHeight="1" x14ac:dyDescent="0.2">
      <c r="B114" s="22" t="s">
        <v>135</v>
      </c>
      <c r="D114" s="133">
        <f>XIRR(F114:CL114,F7:CL7)</f>
        <v>7.5116142630577101E-2</v>
      </c>
      <c r="F114" s="57">
        <f>-F112+F113</f>
        <v>-652000</v>
      </c>
      <c r="G114" s="57">
        <f>-G112+G113</f>
        <v>-3252.051166666668</v>
      </c>
      <c r="H114" s="57">
        <f t="shared" ref="H114:BS114" si="188">-H112+H113</f>
        <v>3791.2821666666659</v>
      </c>
      <c r="I114" s="57">
        <f t="shared" si="188"/>
        <v>3791.2821666666659</v>
      </c>
      <c r="J114" s="57">
        <f t="shared" si="188"/>
        <v>3791.2821666666659</v>
      </c>
      <c r="K114" s="57">
        <f t="shared" si="188"/>
        <v>3791.2821666666659</v>
      </c>
      <c r="L114" s="57">
        <f t="shared" si="188"/>
        <v>3791.2821666666659</v>
      </c>
      <c r="M114" s="57">
        <f t="shared" si="188"/>
        <v>3791.2821666666659</v>
      </c>
      <c r="N114" s="57">
        <f t="shared" si="188"/>
        <v>3791.2821666666659</v>
      </c>
      <c r="O114" s="57">
        <f t="shared" si="188"/>
        <v>3791.2821666666659</v>
      </c>
      <c r="P114" s="57">
        <f t="shared" si="188"/>
        <v>3791.2821666666659</v>
      </c>
      <c r="Q114" s="57">
        <f t="shared" si="188"/>
        <v>3791.2821666666659</v>
      </c>
      <c r="R114" s="57">
        <f t="shared" si="188"/>
        <v>3791.2821666666659</v>
      </c>
      <c r="S114" s="57">
        <f t="shared" si="188"/>
        <v>7864.7620379166683</v>
      </c>
      <c r="T114" s="57">
        <f t="shared" si="188"/>
        <v>7864.7620379166683</v>
      </c>
      <c r="U114" s="57">
        <f t="shared" si="188"/>
        <v>7864.7620379166683</v>
      </c>
      <c r="V114" s="57">
        <f t="shared" si="188"/>
        <v>7864.7620379166683</v>
      </c>
      <c r="W114" s="57">
        <f t="shared" si="188"/>
        <v>7864.7620379166683</v>
      </c>
      <c r="X114" s="57">
        <f t="shared" si="188"/>
        <v>7864.7620379166683</v>
      </c>
      <c r="Y114" s="57">
        <f t="shared" si="188"/>
        <v>7864.7620379166683</v>
      </c>
      <c r="Z114" s="57">
        <f t="shared" si="188"/>
        <v>7864.7620379166683</v>
      </c>
      <c r="AA114" s="57">
        <f t="shared" si="188"/>
        <v>7864.7620379166683</v>
      </c>
      <c r="AB114" s="57">
        <f t="shared" si="188"/>
        <v>7864.7620379166683</v>
      </c>
      <c r="AC114" s="57">
        <f t="shared" si="188"/>
        <v>7864.7620379166683</v>
      </c>
      <c r="AD114" s="57">
        <f t="shared" si="188"/>
        <v>7864.7620379166683</v>
      </c>
      <c r="AE114" s="57">
        <f t="shared" si="188"/>
        <v>12096.970296826103</v>
      </c>
      <c r="AF114" s="57">
        <f t="shared" si="188"/>
        <v>12096.970296826104</v>
      </c>
      <c r="AG114" s="57">
        <f t="shared" si="188"/>
        <v>12096.970296826103</v>
      </c>
      <c r="AH114" s="57">
        <f t="shared" si="188"/>
        <v>12096.970296826103</v>
      </c>
      <c r="AI114" s="57">
        <f t="shared" si="188"/>
        <v>12096.970296826101</v>
      </c>
      <c r="AJ114" s="57">
        <f t="shared" si="188"/>
        <v>12096.970296826103</v>
      </c>
      <c r="AK114" s="57">
        <f t="shared" si="188"/>
        <v>12096.970296826104</v>
      </c>
      <c r="AL114" s="57">
        <f t="shared" si="188"/>
        <v>12096.970296826104</v>
      </c>
      <c r="AM114" s="57">
        <f t="shared" si="188"/>
        <v>12096.970296826104</v>
      </c>
      <c r="AN114" s="57">
        <f t="shared" si="188"/>
        <v>12096.970296826104</v>
      </c>
      <c r="AO114" s="57">
        <f t="shared" si="188"/>
        <v>12096.970296826101</v>
      </c>
      <c r="AP114" s="57">
        <f t="shared" si="188"/>
        <v>12096.970296826101</v>
      </c>
      <c r="AQ114" s="57">
        <f t="shared" si="188"/>
        <v>13319.206427000854</v>
      </c>
      <c r="AR114" s="57">
        <f t="shared" si="188"/>
        <v>13319.206427000854</v>
      </c>
      <c r="AS114" s="57">
        <f t="shared" si="188"/>
        <v>13319.206427000856</v>
      </c>
      <c r="AT114" s="57">
        <f t="shared" si="188"/>
        <v>13319.206427000854</v>
      </c>
      <c r="AU114" s="57">
        <f t="shared" si="188"/>
        <v>13319.206427000856</v>
      </c>
      <c r="AV114" s="57">
        <f t="shared" si="188"/>
        <v>13319.206427000854</v>
      </c>
      <c r="AW114" s="57">
        <f t="shared" si="188"/>
        <v>13319.206427000856</v>
      </c>
      <c r="AX114" s="57">
        <f t="shared" si="188"/>
        <v>13319.206427000854</v>
      </c>
      <c r="AY114" s="57">
        <f t="shared" si="188"/>
        <v>13319.206427000856</v>
      </c>
      <c r="AZ114" s="57">
        <f t="shared" si="188"/>
        <v>13319.206427000856</v>
      </c>
      <c r="BA114" s="57">
        <f t="shared" si="188"/>
        <v>13319.206427000856</v>
      </c>
      <c r="BB114" s="57">
        <f t="shared" si="188"/>
        <v>13319.206427000854</v>
      </c>
      <c r="BC114" s="57">
        <f t="shared" si="188"/>
        <v>13951.927108268335</v>
      </c>
      <c r="BD114" s="57">
        <f t="shared" si="188"/>
        <v>13951.927108268335</v>
      </c>
      <c r="BE114" s="57">
        <f t="shared" si="188"/>
        <v>13951.927108268335</v>
      </c>
      <c r="BF114" s="57">
        <f t="shared" si="188"/>
        <v>13951.927108268335</v>
      </c>
      <c r="BG114" s="57">
        <f t="shared" si="188"/>
        <v>13951.927108268339</v>
      </c>
      <c r="BH114" s="57">
        <f t="shared" si="188"/>
        <v>13951.927108268335</v>
      </c>
      <c r="BI114" s="57">
        <f t="shared" si="188"/>
        <v>13951.927108268335</v>
      </c>
      <c r="BJ114" s="57">
        <f t="shared" si="188"/>
        <v>13951.927108268335</v>
      </c>
      <c r="BK114" s="57">
        <f t="shared" si="188"/>
        <v>13951.927108268335</v>
      </c>
      <c r="BL114" s="57">
        <f t="shared" si="188"/>
        <v>13951.927108268335</v>
      </c>
      <c r="BM114" s="57">
        <f t="shared" si="188"/>
        <v>13951.927108268339</v>
      </c>
      <c r="BN114" s="57">
        <f t="shared" si="188"/>
        <v>13951.927108268335</v>
      </c>
      <c r="BO114" s="57">
        <f t="shared" si="188"/>
        <v>14603.929409973869</v>
      </c>
      <c r="BP114" s="57">
        <f t="shared" si="188"/>
        <v>14603.929409973862</v>
      </c>
      <c r="BQ114" s="57">
        <f t="shared" si="188"/>
        <v>14603.929409973869</v>
      </c>
      <c r="BR114" s="57">
        <f t="shared" si="188"/>
        <v>14603.929409973862</v>
      </c>
      <c r="BS114" s="57">
        <f t="shared" si="188"/>
        <v>14603.929409973869</v>
      </c>
      <c r="BT114" s="57">
        <f t="shared" ref="BT114:CL114" si="189">-BT112+BT113</f>
        <v>14603.929409973869</v>
      </c>
      <c r="BU114" s="57">
        <f t="shared" si="189"/>
        <v>14603.929409973862</v>
      </c>
      <c r="BV114" s="57">
        <f t="shared" si="189"/>
        <v>14603.929409973862</v>
      </c>
      <c r="BW114" s="57">
        <f t="shared" si="189"/>
        <v>14603.929409973862</v>
      </c>
      <c r="BX114" s="57">
        <f t="shared" si="189"/>
        <v>14603.929409973869</v>
      </c>
      <c r="BY114" s="57">
        <f t="shared" si="189"/>
        <v>14603.929409973862</v>
      </c>
      <c r="BZ114" s="57">
        <f t="shared" si="189"/>
        <v>14603.929409973862</v>
      </c>
      <c r="CA114" s="57">
        <f t="shared" si="189"/>
        <v>15273.291780730548</v>
      </c>
      <c r="CB114" s="57">
        <f t="shared" si="189"/>
        <v>15273.291780730548</v>
      </c>
      <c r="CC114" s="57">
        <f t="shared" si="189"/>
        <v>15273.291780730548</v>
      </c>
      <c r="CD114" s="57">
        <f t="shared" si="189"/>
        <v>15273.291780730548</v>
      </c>
      <c r="CE114" s="57">
        <f t="shared" si="189"/>
        <v>14957.954898953169</v>
      </c>
      <c r="CF114" s="64">
        <f t="shared" si="189"/>
        <v>0</v>
      </c>
      <c r="CG114" s="64">
        <f t="shared" si="189"/>
        <v>0</v>
      </c>
      <c r="CH114" s="64">
        <f t="shared" si="189"/>
        <v>0</v>
      </c>
      <c r="CI114" s="64">
        <f t="shared" si="189"/>
        <v>0</v>
      </c>
      <c r="CJ114" s="64">
        <f t="shared" si="189"/>
        <v>0</v>
      </c>
      <c r="CK114" s="64">
        <f t="shared" si="189"/>
        <v>0</v>
      </c>
      <c r="CL114" s="64">
        <f t="shared" si="189"/>
        <v>0</v>
      </c>
    </row>
    <row r="115" spans="2:90" ht="12.6" customHeight="1" x14ac:dyDescent="0.2">
      <c r="CF115" s="64"/>
      <c r="CG115" s="64"/>
      <c r="CH115" s="64"/>
      <c r="CI115" s="64"/>
      <c r="CJ115" s="64"/>
      <c r="CK115" s="64"/>
      <c r="CL115" s="64"/>
    </row>
    <row r="116" spans="2:90" ht="12.6" customHeight="1" x14ac:dyDescent="0.2">
      <c r="B116" s="22" t="s">
        <v>141</v>
      </c>
      <c r="F116" s="64">
        <f>F108+F113</f>
        <v>0</v>
      </c>
      <c r="G116" s="89">
        <f t="shared" ref="G116:BR116" si="190">G108+G113</f>
        <v>0</v>
      </c>
      <c r="H116" s="57">
        <f t="shared" si="190"/>
        <v>37912.821666666656</v>
      </c>
      <c r="I116" s="57">
        <f t="shared" si="190"/>
        <v>37912.821666666656</v>
      </c>
      <c r="J116" s="57">
        <f t="shared" si="190"/>
        <v>37912.821666666656</v>
      </c>
      <c r="K116" s="57">
        <f t="shared" si="190"/>
        <v>37912.821666666656</v>
      </c>
      <c r="L116" s="57">
        <f t="shared" si="190"/>
        <v>37912.821666666656</v>
      </c>
      <c r="M116" s="57">
        <f t="shared" si="190"/>
        <v>37912.821666666656</v>
      </c>
      <c r="N116" s="57">
        <f t="shared" si="190"/>
        <v>37912.821666666656</v>
      </c>
      <c r="O116" s="57">
        <f t="shared" si="190"/>
        <v>37912.821666666656</v>
      </c>
      <c r="P116" s="57">
        <f t="shared" si="190"/>
        <v>37912.821666666656</v>
      </c>
      <c r="Q116" s="57">
        <f t="shared" si="190"/>
        <v>37912.821666666656</v>
      </c>
      <c r="R116" s="57">
        <f t="shared" si="190"/>
        <v>37912.821666666656</v>
      </c>
      <c r="S116" s="57">
        <f t="shared" si="190"/>
        <v>78647.620379166678</v>
      </c>
      <c r="T116" s="57">
        <f t="shared" si="190"/>
        <v>78647.620379166678</v>
      </c>
      <c r="U116" s="57">
        <f t="shared" si="190"/>
        <v>78647.620379166678</v>
      </c>
      <c r="V116" s="57">
        <f t="shared" si="190"/>
        <v>78647.620379166678</v>
      </c>
      <c r="W116" s="57">
        <f t="shared" si="190"/>
        <v>78647.620379166678</v>
      </c>
      <c r="X116" s="57">
        <f t="shared" si="190"/>
        <v>78647.620379166678</v>
      </c>
      <c r="Y116" s="57">
        <f t="shared" si="190"/>
        <v>78647.620379166678</v>
      </c>
      <c r="Z116" s="57">
        <f t="shared" si="190"/>
        <v>78647.620379166678</v>
      </c>
      <c r="AA116" s="57">
        <f t="shared" si="190"/>
        <v>78647.620379166678</v>
      </c>
      <c r="AB116" s="57">
        <f t="shared" si="190"/>
        <v>78647.620379166678</v>
      </c>
      <c r="AC116" s="57">
        <f t="shared" si="190"/>
        <v>78647.620379166678</v>
      </c>
      <c r="AD116" s="57">
        <f t="shared" si="190"/>
        <v>78647.620379166678</v>
      </c>
      <c r="AE116" s="57">
        <f t="shared" si="190"/>
        <v>120969.70296826102</v>
      </c>
      <c r="AF116" s="57">
        <f t="shared" si="190"/>
        <v>120969.70296826103</v>
      </c>
      <c r="AG116" s="57">
        <f t="shared" si="190"/>
        <v>120969.70296826102</v>
      </c>
      <c r="AH116" s="57">
        <f t="shared" si="190"/>
        <v>120969.70296826102</v>
      </c>
      <c r="AI116" s="57">
        <f t="shared" si="190"/>
        <v>120969.702968261</v>
      </c>
      <c r="AJ116" s="57">
        <f t="shared" si="190"/>
        <v>120969.70296826102</v>
      </c>
      <c r="AK116" s="57">
        <f t="shared" si="190"/>
        <v>120969.70296826103</v>
      </c>
      <c r="AL116" s="57">
        <f t="shared" si="190"/>
        <v>120969.70296826103</v>
      </c>
      <c r="AM116" s="57">
        <f t="shared" si="190"/>
        <v>120969.70296826103</v>
      </c>
      <c r="AN116" s="57">
        <f t="shared" si="190"/>
        <v>120969.70296826103</v>
      </c>
      <c r="AO116" s="57">
        <f t="shared" si="190"/>
        <v>120969.702968261</v>
      </c>
      <c r="AP116" s="57">
        <f t="shared" si="190"/>
        <v>120969.702968261</v>
      </c>
      <c r="AQ116" s="57">
        <f t="shared" si="190"/>
        <v>133192.06427000853</v>
      </c>
      <c r="AR116" s="57">
        <f t="shared" si="190"/>
        <v>133192.06427000853</v>
      </c>
      <c r="AS116" s="57">
        <f t="shared" si="190"/>
        <v>133192.06427000856</v>
      </c>
      <c r="AT116" s="57">
        <f t="shared" si="190"/>
        <v>133192.06427000853</v>
      </c>
      <c r="AU116" s="57">
        <f t="shared" si="190"/>
        <v>133192.06427000856</v>
      </c>
      <c r="AV116" s="57">
        <f t="shared" si="190"/>
        <v>133192.06427000853</v>
      </c>
      <c r="AW116" s="57">
        <f t="shared" si="190"/>
        <v>133192.06427000856</v>
      </c>
      <c r="AX116" s="57">
        <f t="shared" si="190"/>
        <v>133192.06427000853</v>
      </c>
      <c r="AY116" s="57">
        <f t="shared" si="190"/>
        <v>133192.06427000856</v>
      </c>
      <c r="AZ116" s="57">
        <f t="shared" si="190"/>
        <v>133192.06427000856</v>
      </c>
      <c r="BA116" s="57">
        <f t="shared" si="190"/>
        <v>133192.06427000856</v>
      </c>
      <c r="BB116" s="57">
        <f t="shared" si="190"/>
        <v>133192.06427000853</v>
      </c>
      <c r="BC116" s="57">
        <f t="shared" si="190"/>
        <v>139519.27108268335</v>
      </c>
      <c r="BD116" s="57">
        <f t="shared" si="190"/>
        <v>139519.27108268335</v>
      </c>
      <c r="BE116" s="57">
        <f t="shared" si="190"/>
        <v>139519.27108268335</v>
      </c>
      <c r="BF116" s="57">
        <f t="shared" si="190"/>
        <v>139519.27108268335</v>
      </c>
      <c r="BG116" s="57">
        <f t="shared" si="190"/>
        <v>139519.27108268338</v>
      </c>
      <c r="BH116" s="57">
        <f t="shared" si="190"/>
        <v>139519.27108268335</v>
      </c>
      <c r="BI116" s="57">
        <f t="shared" si="190"/>
        <v>139519.27108268335</v>
      </c>
      <c r="BJ116" s="57">
        <f t="shared" si="190"/>
        <v>139519.27108268335</v>
      </c>
      <c r="BK116" s="57">
        <f t="shared" si="190"/>
        <v>139519.27108268335</v>
      </c>
      <c r="BL116" s="57">
        <f t="shared" si="190"/>
        <v>139519.27108268335</v>
      </c>
      <c r="BM116" s="57">
        <f t="shared" si="190"/>
        <v>139519.27108268338</v>
      </c>
      <c r="BN116" s="57">
        <f t="shared" si="190"/>
        <v>139519.27108268335</v>
      </c>
      <c r="BO116" s="57">
        <f t="shared" si="190"/>
        <v>146039.29409973868</v>
      </c>
      <c r="BP116" s="57">
        <f t="shared" si="190"/>
        <v>146039.29409973865</v>
      </c>
      <c r="BQ116" s="57">
        <f t="shared" si="190"/>
        <v>146039.29409973868</v>
      </c>
      <c r="BR116" s="57">
        <f t="shared" si="190"/>
        <v>146039.29409973865</v>
      </c>
      <c r="BS116" s="57">
        <f t="shared" ref="BS116:CL116" si="191">BS108+BS113</f>
        <v>146039.29409973868</v>
      </c>
      <c r="BT116" s="57">
        <f t="shared" si="191"/>
        <v>146039.29409973868</v>
      </c>
      <c r="BU116" s="57">
        <f t="shared" si="191"/>
        <v>146039.29409973865</v>
      </c>
      <c r="BV116" s="57">
        <f t="shared" si="191"/>
        <v>146039.29409973865</v>
      </c>
      <c r="BW116" s="57">
        <f t="shared" si="191"/>
        <v>146039.29409973865</v>
      </c>
      <c r="BX116" s="57">
        <f t="shared" si="191"/>
        <v>146039.29409973868</v>
      </c>
      <c r="BY116" s="57">
        <f t="shared" si="191"/>
        <v>146039.29409973865</v>
      </c>
      <c r="BZ116" s="57">
        <f t="shared" si="191"/>
        <v>146039.29409973865</v>
      </c>
      <c r="CA116" s="57">
        <f t="shared" si="191"/>
        <v>152732.91780730546</v>
      </c>
      <c r="CB116" s="57">
        <f t="shared" si="191"/>
        <v>152732.91780730546</v>
      </c>
      <c r="CC116" s="57">
        <f t="shared" si="191"/>
        <v>152732.91780730546</v>
      </c>
      <c r="CD116" s="57">
        <f t="shared" si="191"/>
        <v>152732.91780730546</v>
      </c>
      <c r="CE116" s="57">
        <f t="shared" si="191"/>
        <v>149579.54898953167</v>
      </c>
      <c r="CF116" s="64">
        <f t="shared" si="191"/>
        <v>0</v>
      </c>
      <c r="CG116" s="64">
        <f t="shared" si="191"/>
        <v>0</v>
      </c>
      <c r="CH116" s="64">
        <f t="shared" si="191"/>
        <v>0</v>
      </c>
      <c r="CI116" s="64">
        <f t="shared" si="191"/>
        <v>0</v>
      </c>
      <c r="CJ116" s="64">
        <f t="shared" si="191"/>
        <v>0</v>
      </c>
      <c r="CK116" s="64">
        <f t="shared" si="191"/>
        <v>0</v>
      </c>
      <c r="CL116" s="64">
        <f t="shared" si="191"/>
        <v>0</v>
      </c>
    </row>
    <row r="117" spans="2:90" ht="12.6" customHeight="1" x14ac:dyDescent="0.2">
      <c r="B117" s="22" t="s">
        <v>142</v>
      </c>
      <c r="F117" s="89">
        <f>MAX(F97,0)-F116</f>
        <v>0</v>
      </c>
      <c r="G117" s="89">
        <f t="shared" ref="G117:AK117" si="192">MAX(G80,0)-G116</f>
        <v>0</v>
      </c>
      <c r="H117" s="89">
        <f t="shared" si="192"/>
        <v>0</v>
      </c>
      <c r="I117" s="89">
        <f t="shared" si="192"/>
        <v>0</v>
      </c>
      <c r="J117" s="89">
        <f t="shared" si="192"/>
        <v>0</v>
      </c>
      <c r="K117" s="89">
        <f t="shared" si="192"/>
        <v>0</v>
      </c>
      <c r="L117" s="89">
        <f t="shared" si="192"/>
        <v>0</v>
      </c>
      <c r="M117" s="89">
        <f t="shared" si="192"/>
        <v>0</v>
      </c>
      <c r="N117" s="89">
        <f t="shared" si="192"/>
        <v>0</v>
      </c>
      <c r="O117" s="89">
        <f t="shared" si="192"/>
        <v>0</v>
      </c>
      <c r="P117" s="89">
        <f t="shared" si="192"/>
        <v>0</v>
      </c>
      <c r="Q117" s="89">
        <f t="shared" si="192"/>
        <v>0</v>
      </c>
      <c r="R117" s="89">
        <f t="shared" si="192"/>
        <v>0</v>
      </c>
      <c r="S117" s="89">
        <f t="shared" si="192"/>
        <v>0</v>
      </c>
      <c r="T117" s="89">
        <f t="shared" si="192"/>
        <v>0</v>
      </c>
      <c r="U117" s="89">
        <f t="shared" si="192"/>
        <v>0</v>
      </c>
      <c r="V117" s="89">
        <f t="shared" si="192"/>
        <v>0</v>
      </c>
      <c r="W117" s="89">
        <f t="shared" si="192"/>
        <v>0</v>
      </c>
      <c r="X117" s="89">
        <f t="shared" si="192"/>
        <v>0</v>
      </c>
      <c r="Y117" s="89">
        <f t="shared" si="192"/>
        <v>0</v>
      </c>
      <c r="Z117" s="89">
        <f t="shared" si="192"/>
        <v>0</v>
      </c>
      <c r="AA117" s="89">
        <f t="shared" si="192"/>
        <v>0</v>
      </c>
      <c r="AB117" s="89">
        <f t="shared" si="192"/>
        <v>0</v>
      </c>
      <c r="AC117" s="89">
        <f t="shared" si="192"/>
        <v>0</v>
      </c>
      <c r="AD117" s="89">
        <f t="shared" si="192"/>
        <v>0</v>
      </c>
      <c r="AE117" s="89">
        <f t="shared" si="192"/>
        <v>0</v>
      </c>
      <c r="AF117" s="89">
        <f t="shared" si="192"/>
        <v>0</v>
      </c>
      <c r="AG117" s="89">
        <f t="shared" si="192"/>
        <v>0</v>
      </c>
      <c r="AH117" s="89">
        <f t="shared" si="192"/>
        <v>0</v>
      </c>
      <c r="AI117" s="89">
        <f t="shared" si="192"/>
        <v>0</v>
      </c>
      <c r="AJ117" s="89">
        <f t="shared" si="192"/>
        <v>0</v>
      </c>
      <c r="AK117" s="89">
        <f t="shared" si="192"/>
        <v>0</v>
      </c>
      <c r="AL117" s="89">
        <f t="shared" ref="AL117:BQ117" si="193">MAX(AL80,0)-AL116</f>
        <v>0</v>
      </c>
      <c r="AM117" s="89">
        <f t="shared" si="193"/>
        <v>0</v>
      </c>
      <c r="AN117" s="89">
        <f t="shared" si="193"/>
        <v>0</v>
      </c>
      <c r="AO117" s="89">
        <f t="shared" si="193"/>
        <v>0</v>
      </c>
      <c r="AP117" s="89">
        <f t="shared" si="193"/>
        <v>0</v>
      </c>
      <c r="AQ117" s="89">
        <f t="shared" si="193"/>
        <v>0</v>
      </c>
      <c r="AR117" s="89">
        <f t="shared" si="193"/>
        <v>0</v>
      </c>
      <c r="AS117" s="89">
        <f t="shared" si="193"/>
        <v>0</v>
      </c>
      <c r="AT117" s="89">
        <f t="shared" si="193"/>
        <v>0</v>
      </c>
      <c r="AU117" s="89">
        <f t="shared" si="193"/>
        <v>0</v>
      </c>
      <c r="AV117" s="89">
        <f t="shared" si="193"/>
        <v>0</v>
      </c>
      <c r="AW117" s="89">
        <f t="shared" si="193"/>
        <v>0</v>
      </c>
      <c r="AX117" s="89">
        <f t="shared" si="193"/>
        <v>0</v>
      </c>
      <c r="AY117" s="89">
        <f t="shared" si="193"/>
        <v>0</v>
      </c>
      <c r="AZ117" s="89">
        <f t="shared" si="193"/>
        <v>0</v>
      </c>
      <c r="BA117" s="89">
        <f t="shared" si="193"/>
        <v>0</v>
      </c>
      <c r="BB117" s="89">
        <f t="shared" si="193"/>
        <v>0</v>
      </c>
      <c r="BC117" s="89">
        <f t="shared" si="193"/>
        <v>0</v>
      </c>
      <c r="BD117" s="89">
        <f t="shared" si="193"/>
        <v>0</v>
      </c>
      <c r="BE117" s="89">
        <f t="shared" si="193"/>
        <v>0</v>
      </c>
      <c r="BF117" s="89">
        <f t="shared" si="193"/>
        <v>0</v>
      </c>
      <c r="BG117" s="89">
        <f t="shared" si="193"/>
        <v>0</v>
      </c>
      <c r="BH117" s="89">
        <f t="shared" si="193"/>
        <v>0</v>
      </c>
      <c r="BI117" s="89">
        <f t="shared" si="193"/>
        <v>0</v>
      </c>
      <c r="BJ117" s="89">
        <f t="shared" si="193"/>
        <v>0</v>
      </c>
      <c r="BK117" s="89">
        <f t="shared" si="193"/>
        <v>0</v>
      </c>
      <c r="BL117" s="89">
        <f t="shared" si="193"/>
        <v>0</v>
      </c>
      <c r="BM117" s="89">
        <f t="shared" si="193"/>
        <v>0</v>
      </c>
      <c r="BN117" s="89">
        <f t="shared" si="193"/>
        <v>0</v>
      </c>
      <c r="BO117" s="89">
        <f t="shared" si="193"/>
        <v>0</v>
      </c>
      <c r="BP117" s="89">
        <f t="shared" si="193"/>
        <v>0</v>
      </c>
      <c r="BQ117" s="89">
        <f t="shared" si="193"/>
        <v>0</v>
      </c>
      <c r="BR117" s="89">
        <f t="shared" ref="BR117:CL117" si="194">MAX(BR80,0)-BR116</f>
        <v>0</v>
      </c>
      <c r="BS117" s="89">
        <f t="shared" si="194"/>
        <v>0</v>
      </c>
      <c r="BT117" s="89">
        <f t="shared" si="194"/>
        <v>0</v>
      </c>
      <c r="BU117" s="89">
        <f t="shared" si="194"/>
        <v>0</v>
      </c>
      <c r="BV117" s="89">
        <f t="shared" si="194"/>
        <v>0</v>
      </c>
      <c r="BW117" s="89">
        <f t="shared" si="194"/>
        <v>0</v>
      </c>
      <c r="BX117" s="89">
        <f t="shared" si="194"/>
        <v>0</v>
      </c>
      <c r="BY117" s="89">
        <f t="shared" si="194"/>
        <v>0</v>
      </c>
      <c r="BZ117" s="89">
        <f t="shared" si="194"/>
        <v>0</v>
      </c>
      <c r="CA117" s="89">
        <f t="shared" si="194"/>
        <v>0</v>
      </c>
      <c r="CB117" s="89">
        <f t="shared" si="194"/>
        <v>0</v>
      </c>
      <c r="CC117" s="89">
        <f t="shared" si="194"/>
        <v>0</v>
      </c>
      <c r="CD117" s="89">
        <f t="shared" si="194"/>
        <v>0</v>
      </c>
      <c r="CE117" s="57">
        <f t="shared" si="194"/>
        <v>3153.3688177737931</v>
      </c>
      <c r="CF117" s="57">
        <f t="shared" si="194"/>
        <v>152732.91780730544</v>
      </c>
      <c r="CG117" s="57">
        <f t="shared" si="194"/>
        <v>152732.91780730546</v>
      </c>
      <c r="CH117" s="57">
        <f t="shared" si="194"/>
        <v>152732.91780730544</v>
      </c>
      <c r="CI117" s="57">
        <f t="shared" si="194"/>
        <v>152732.91780730544</v>
      </c>
      <c r="CJ117" s="57">
        <f t="shared" si="194"/>
        <v>152732.91780730544</v>
      </c>
      <c r="CK117" s="57">
        <f t="shared" si="194"/>
        <v>152732.91780730544</v>
      </c>
      <c r="CL117" s="57">
        <f t="shared" si="194"/>
        <v>39274508.959586829</v>
      </c>
    </row>
    <row r="118" spans="2:90" ht="12.6" customHeight="1" x14ac:dyDescent="0.2">
      <c r="CE118" s="57"/>
      <c r="CF118" s="57"/>
      <c r="CG118" s="57"/>
      <c r="CH118" s="57"/>
      <c r="CI118" s="57"/>
      <c r="CJ118" s="57"/>
      <c r="CK118" s="57"/>
      <c r="CL118" s="57"/>
    </row>
    <row r="119" spans="2:90" ht="12.6" customHeight="1" x14ac:dyDescent="0.2">
      <c r="B119" s="35" t="s">
        <v>162</v>
      </c>
      <c r="F119" s="64"/>
      <c r="G119" s="64"/>
      <c r="H119" s="64"/>
      <c r="I119" s="64"/>
      <c r="J119" s="64"/>
      <c r="K119" s="64"/>
      <c r="L119" s="64"/>
      <c r="M119" s="57"/>
      <c r="CE119" s="57"/>
      <c r="CF119" s="57"/>
      <c r="CG119" s="57"/>
      <c r="CH119" s="57"/>
      <c r="CI119" s="57"/>
      <c r="CJ119" s="57"/>
      <c r="CK119" s="57"/>
      <c r="CL119" s="57"/>
    </row>
    <row r="120" spans="2:90" ht="12.6" customHeight="1" x14ac:dyDescent="0.2">
      <c r="B120" s="22" t="s">
        <v>49</v>
      </c>
      <c r="D120" s="86">
        <f>Assumptions!H29</f>
        <v>0.25</v>
      </c>
      <c r="F120" s="64"/>
      <c r="G120" s="64"/>
      <c r="H120" s="64"/>
      <c r="I120" s="64"/>
      <c r="J120" s="64"/>
      <c r="K120" s="64"/>
      <c r="L120" s="64"/>
      <c r="M120" s="57"/>
      <c r="CE120" s="57"/>
      <c r="CF120" s="57"/>
      <c r="CG120" s="57"/>
      <c r="CH120" s="57"/>
      <c r="CI120" s="57"/>
      <c r="CJ120" s="57"/>
      <c r="CK120" s="57"/>
      <c r="CL120" s="57"/>
    </row>
    <row r="121" spans="2:90" ht="12.6" customHeight="1" x14ac:dyDescent="0.2">
      <c r="B121" s="22" t="s">
        <v>163</v>
      </c>
      <c r="D121" s="176">
        <f>1-D122</f>
        <v>0.67500000000000004</v>
      </c>
      <c r="F121" s="64">
        <f>F117*$D$121</f>
        <v>0</v>
      </c>
      <c r="G121" s="64">
        <f t="shared" ref="G121:BR121" si="195">G117*$D$121</f>
        <v>0</v>
      </c>
      <c r="H121" s="64">
        <f t="shared" si="195"/>
        <v>0</v>
      </c>
      <c r="I121" s="64">
        <f t="shared" si="195"/>
        <v>0</v>
      </c>
      <c r="J121" s="64">
        <f t="shared" si="195"/>
        <v>0</v>
      </c>
      <c r="K121" s="64">
        <f t="shared" si="195"/>
        <v>0</v>
      </c>
      <c r="L121" s="64">
        <f t="shared" si="195"/>
        <v>0</v>
      </c>
      <c r="M121" s="64">
        <f t="shared" si="195"/>
        <v>0</v>
      </c>
      <c r="N121" s="64">
        <f t="shared" si="195"/>
        <v>0</v>
      </c>
      <c r="O121" s="64">
        <f t="shared" si="195"/>
        <v>0</v>
      </c>
      <c r="P121" s="64">
        <f t="shared" si="195"/>
        <v>0</v>
      </c>
      <c r="Q121" s="64">
        <f t="shared" si="195"/>
        <v>0</v>
      </c>
      <c r="R121" s="64">
        <f t="shared" si="195"/>
        <v>0</v>
      </c>
      <c r="S121" s="64">
        <f t="shared" si="195"/>
        <v>0</v>
      </c>
      <c r="T121" s="64">
        <f t="shared" si="195"/>
        <v>0</v>
      </c>
      <c r="U121" s="64">
        <f t="shared" si="195"/>
        <v>0</v>
      </c>
      <c r="V121" s="64">
        <f t="shared" si="195"/>
        <v>0</v>
      </c>
      <c r="W121" s="64">
        <f t="shared" si="195"/>
        <v>0</v>
      </c>
      <c r="X121" s="64">
        <f t="shared" si="195"/>
        <v>0</v>
      </c>
      <c r="Y121" s="64">
        <f t="shared" si="195"/>
        <v>0</v>
      </c>
      <c r="Z121" s="64">
        <f t="shared" si="195"/>
        <v>0</v>
      </c>
      <c r="AA121" s="64">
        <f t="shared" si="195"/>
        <v>0</v>
      </c>
      <c r="AB121" s="64">
        <f t="shared" si="195"/>
        <v>0</v>
      </c>
      <c r="AC121" s="64">
        <f t="shared" si="195"/>
        <v>0</v>
      </c>
      <c r="AD121" s="64">
        <f t="shared" si="195"/>
        <v>0</v>
      </c>
      <c r="AE121" s="64">
        <f t="shared" si="195"/>
        <v>0</v>
      </c>
      <c r="AF121" s="64">
        <f t="shared" si="195"/>
        <v>0</v>
      </c>
      <c r="AG121" s="64">
        <f t="shared" si="195"/>
        <v>0</v>
      </c>
      <c r="AH121" s="64">
        <f t="shared" si="195"/>
        <v>0</v>
      </c>
      <c r="AI121" s="64">
        <f t="shared" si="195"/>
        <v>0</v>
      </c>
      <c r="AJ121" s="64">
        <f t="shared" si="195"/>
        <v>0</v>
      </c>
      <c r="AK121" s="64">
        <f t="shared" si="195"/>
        <v>0</v>
      </c>
      <c r="AL121" s="64">
        <f t="shared" si="195"/>
        <v>0</v>
      </c>
      <c r="AM121" s="64">
        <f t="shared" si="195"/>
        <v>0</v>
      </c>
      <c r="AN121" s="64">
        <f t="shared" si="195"/>
        <v>0</v>
      </c>
      <c r="AO121" s="64">
        <f t="shared" si="195"/>
        <v>0</v>
      </c>
      <c r="AP121" s="64">
        <f t="shared" si="195"/>
        <v>0</v>
      </c>
      <c r="AQ121" s="64">
        <f t="shared" si="195"/>
        <v>0</v>
      </c>
      <c r="AR121" s="64">
        <f t="shared" si="195"/>
        <v>0</v>
      </c>
      <c r="AS121" s="64">
        <f t="shared" si="195"/>
        <v>0</v>
      </c>
      <c r="AT121" s="64">
        <f t="shared" si="195"/>
        <v>0</v>
      </c>
      <c r="AU121" s="64">
        <f t="shared" si="195"/>
        <v>0</v>
      </c>
      <c r="AV121" s="64">
        <f t="shared" si="195"/>
        <v>0</v>
      </c>
      <c r="AW121" s="64">
        <f t="shared" si="195"/>
        <v>0</v>
      </c>
      <c r="AX121" s="64">
        <f t="shared" si="195"/>
        <v>0</v>
      </c>
      <c r="AY121" s="64">
        <f t="shared" si="195"/>
        <v>0</v>
      </c>
      <c r="AZ121" s="64">
        <f t="shared" si="195"/>
        <v>0</v>
      </c>
      <c r="BA121" s="64">
        <f t="shared" si="195"/>
        <v>0</v>
      </c>
      <c r="BB121" s="64">
        <f t="shared" si="195"/>
        <v>0</v>
      </c>
      <c r="BC121" s="64">
        <f t="shared" si="195"/>
        <v>0</v>
      </c>
      <c r="BD121" s="64">
        <f t="shared" si="195"/>
        <v>0</v>
      </c>
      <c r="BE121" s="64">
        <f t="shared" si="195"/>
        <v>0</v>
      </c>
      <c r="BF121" s="64">
        <f t="shared" si="195"/>
        <v>0</v>
      </c>
      <c r="BG121" s="64">
        <f t="shared" si="195"/>
        <v>0</v>
      </c>
      <c r="BH121" s="64">
        <f t="shared" si="195"/>
        <v>0</v>
      </c>
      <c r="BI121" s="64">
        <f t="shared" si="195"/>
        <v>0</v>
      </c>
      <c r="BJ121" s="64">
        <f t="shared" si="195"/>
        <v>0</v>
      </c>
      <c r="BK121" s="64">
        <f t="shared" si="195"/>
        <v>0</v>
      </c>
      <c r="BL121" s="64">
        <f t="shared" si="195"/>
        <v>0</v>
      </c>
      <c r="BM121" s="64">
        <f t="shared" si="195"/>
        <v>0</v>
      </c>
      <c r="BN121" s="64">
        <f t="shared" si="195"/>
        <v>0</v>
      </c>
      <c r="BO121" s="64">
        <f t="shared" si="195"/>
        <v>0</v>
      </c>
      <c r="BP121" s="64">
        <f t="shared" si="195"/>
        <v>0</v>
      </c>
      <c r="BQ121" s="64">
        <f t="shared" si="195"/>
        <v>0</v>
      </c>
      <c r="BR121" s="64">
        <f t="shared" si="195"/>
        <v>0</v>
      </c>
      <c r="BS121" s="64">
        <f t="shared" ref="BS121:CL121" si="196">BS117*$D$121</f>
        <v>0</v>
      </c>
      <c r="BT121" s="64">
        <f t="shared" si="196"/>
        <v>0</v>
      </c>
      <c r="BU121" s="64">
        <f t="shared" si="196"/>
        <v>0</v>
      </c>
      <c r="BV121" s="64">
        <f t="shared" si="196"/>
        <v>0</v>
      </c>
      <c r="BW121" s="64">
        <f t="shared" si="196"/>
        <v>0</v>
      </c>
      <c r="BX121" s="64">
        <f t="shared" si="196"/>
        <v>0</v>
      </c>
      <c r="BY121" s="64">
        <f t="shared" si="196"/>
        <v>0</v>
      </c>
      <c r="BZ121" s="64">
        <f t="shared" si="196"/>
        <v>0</v>
      </c>
      <c r="CA121" s="64">
        <f t="shared" si="196"/>
        <v>0</v>
      </c>
      <c r="CB121" s="64">
        <f t="shared" si="196"/>
        <v>0</v>
      </c>
      <c r="CC121" s="64">
        <f t="shared" si="196"/>
        <v>0</v>
      </c>
      <c r="CD121" s="64">
        <f t="shared" si="196"/>
        <v>0</v>
      </c>
      <c r="CE121" s="57">
        <f t="shared" si="196"/>
        <v>2128.5239519973106</v>
      </c>
      <c r="CF121" s="57">
        <f t="shared" si="196"/>
        <v>103094.71951993118</v>
      </c>
      <c r="CG121" s="57">
        <f t="shared" si="196"/>
        <v>103094.7195199312</v>
      </c>
      <c r="CH121" s="57">
        <f t="shared" si="196"/>
        <v>103094.71951993118</v>
      </c>
      <c r="CI121" s="57">
        <f t="shared" si="196"/>
        <v>103094.71951993118</v>
      </c>
      <c r="CJ121" s="57">
        <f t="shared" si="196"/>
        <v>103094.71951993118</v>
      </c>
      <c r="CK121" s="57">
        <f t="shared" si="196"/>
        <v>103094.71951993118</v>
      </c>
      <c r="CL121" s="57">
        <f t="shared" si="196"/>
        <v>26510293.54772111</v>
      </c>
    </row>
    <row r="122" spans="2:90" ht="12.6" customHeight="1" x14ac:dyDescent="0.2">
      <c r="B122" s="22" t="s">
        <v>134</v>
      </c>
      <c r="D122" s="176">
        <f>D120+(1-D120)*D113</f>
        <v>0.32500000000000001</v>
      </c>
      <c r="F122" s="64">
        <f>F117*$D$122</f>
        <v>0</v>
      </c>
      <c r="G122" s="64">
        <f t="shared" ref="G122:BR122" si="197">G117*$D$122</f>
        <v>0</v>
      </c>
      <c r="H122" s="64">
        <f t="shared" si="197"/>
        <v>0</v>
      </c>
      <c r="I122" s="64">
        <f t="shared" si="197"/>
        <v>0</v>
      </c>
      <c r="J122" s="64">
        <f t="shared" si="197"/>
        <v>0</v>
      </c>
      <c r="K122" s="64">
        <f t="shared" si="197"/>
        <v>0</v>
      </c>
      <c r="L122" s="64">
        <f t="shared" si="197"/>
        <v>0</v>
      </c>
      <c r="M122" s="64">
        <f t="shared" si="197"/>
        <v>0</v>
      </c>
      <c r="N122" s="64">
        <f t="shared" si="197"/>
        <v>0</v>
      </c>
      <c r="O122" s="64">
        <f t="shared" si="197"/>
        <v>0</v>
      </c>
      <c r="P122" s="64">
        <f t="shared" si="197"/>
        <v>0</v>
      </c>
      <c r="Q122" s="64">
        <f t="shared" si="197"/>
        <v>0</v>
      </c>
      <c r="R122" s="64">
        <f t="shared" si="197"/>
        <v>0</v>
      </c>
      <c r="S122" s="64">
        <f t="shared" si="197"/>
        <v>0</v>
      </c>
      <c r="T122" s="64">
        <f t="shared" si="197"/>
        <v>0</v>
      </c>
      <c r="U122" s="64">
        <f t="shared" si="197"/>
        <v>0</v>
      </c>
      <c r="V122" s="64">
        <f t="shared" si="197"/>
        <v>0</v>
      </c>
      <c r="W122" s="64">
        <f t="shared" si="197"/>
        <v>0</v>
      </c>
      <c r="X122" s="64">
        <f t="shared" si="197"/>
        <v>0</v>
      </c>
      <c r="Y122" s="64">
        <f t="shared" si="197"/>
        <v>0</v>
      </c>
      <c r="Z122" s="64">
        <f t="shared" si="197"/>
        <v>0</v>
      </c>
      <c r="AA122" s="64">
        <f t="shared" si="197"/>
        <v>0</v>
      </c>
      <c r="AB122" s="64">
        <f t="shared" si="197"/>
        <v>0</v>
      </c>
      <c r="AC122" s="64">
        <f t="shared" si="197"/>
        <v>0</v>
      </c>
      <c r="AD122" s="64">
        <f t="shared" si="197"/>
        <v>0</v>
      </c>
      <c r="AE122" s="64">
        <f t="shared" si="197"/>
        <v>0</v>
      </c>
      <c r="AF122" s="64">
        <f t="shared" si="197"/>
        <v>0</v>
      </c>
      <c r="AG122" s="64">
        <f t="shared" si="197"/>
        <v>0</v>
      </c>
      <c r="AH122" s="64">
        <f t="shared" si="197"/>
        <v>0</v>
      </c>
      <c r="AI122" s="64">
        <f t="shared" si="197"/>
        <v>0</v>
      </c>
      <c r="AJ122" s="64">
        <f t="shared" si="197"/>
        <v>0</v>
      </c>
      <c r="AK122" s="64">
        <f t="shared" si="197"/>
        <v>0</v>
      </c>
      <c r="AL122" s="64">
        <f t="shared" si="197"/>
        <v>0</v>
      </c>
      <c r="AM122" s="64">
        <f t="shared" si="197"/>
        <v>0</v>
      </c>
      <c r="AN122" s="64">
        <f t="shared" si="197"/>
        <v>0</v>
      </c>
      <c r="AO122" s="64">
        <f t="shared" si="197"/>
        <v>0</v>
      </c>
      <c r="AP122" s="64">
        <f t="shared" si="197"/>
        <v>0</v>
      </c>
      <c r="AQ122" s="64">
        <f t="shared" si="197"/>
        <v>0</v>
      </c>
      <c r="AR122" s="64">
        <f t="shared" si="197"/>
        <v>0</v>
      </c>
      <c r="AS122" s="64">
        <f t="shared" si="197"/>
        <v>0</v>
      </c>
      <c r="AT122" s="64">
        <f t="shared" si="197"/>
        <v>0</v>
      </c>
      <c r="AU122" s="64">
        <f t="shared" si="197"/>
        <v>0</v>
      </c>
      <c r="AV122" s="64">
        <f t="shared" si="197"/>
        <v>0</v>
      </c>
      <c r="AW122" s="64">
        <f t="shared" si="197"/>
        <v>0</v>
      </c>
      <c r="AX122" s="64">
        <f t="shared" si="197"/>
        <v>0</v>
      </c>
      <c r="AY122" s="64">
        <f t="shared" si="197"/>
        <v>0</v>
      </c>
      <c r="AZ122" s="64">
        <f t="shared" si="197"/>
        <v>0</v>
      </c>
      <c r="BA122" s="64">
        <f t="shared" si="197"/>
        <v>0</v>
      </c>
      <c r="BB122" s="64">
        <f t="shared" si="197"/>
        <v>0</v>
      </c>
      <c r="BC122" s="64">
        <f t="shared" si="197"/>
        <v>0</v>
      </c>
      <c r="BD122" s="64">
        <f t="shared" si="197"/>
        <v>0</v>
      </c>
      <c r="BE122" s="64">
        <f t="shared" si="197"/>
        <v>0</v>
      </c>
      <c r="BF122" s="64">
        <f t="shared" si="197"/>
        <v>0</v>
      </c>
      <c r="BG122" s="64">
        <f t="shared" si="197"/>
        <v>0</v>
      </c>
      <c r="BH122" s="64">
        <f t="shared" si="197"/>
        <v>0</v>
      </c>
      <c r="BI122" s="64">
        <f t="shared" si="197"/>
        <v>0</v>
      </c>
      <c r="BJ122" s="64">
        <f t="shared" si="197"/>
        <v>0</v>
      </c>
      <c r="BK122" s="64">
        <f t="shared" si="197"/>
        <v>0</v>
      </c>
      <c r="BL122" s="64">
        <f t="shared" si="197"/>
        <v>0</v>
      </c>
      <c r="BM122" s="64">
        <f t="shared" si="197"/>
        <v>0</v>
      </c>
      <c r="BN122" s="64">
        <f t="shared" si="197"/>
        <v>0</v>
      </c>
      <c r="BO122" s="64">
        <f t="shared" si="197"/>
        <v>0</v>
      </c>
      <c r="BP122" s="64">
        <f t="shared" si="197"/>
        <v>0</v>
      </c>
      <c r="BQ122" s="64">
        <f t="shared" si="197"/>
        <v>0</v>
      </c>
      <c r="BR122" s="64">
        <f t="shared" si="197"/>
        <v>0</v>
      </c>
      <c r="BS122" s="64">
        <f t="shared" ref="BS122:CL122" si="198">BS117*$D$122</f>
        <v>0</v>
      </c>
      <c r="BT122" s="64">
        <f t="shared" si="198"/>
        <v>0</v>
      </c>
      <c r="BU122" s="64">
        <f t="shared" si="198"/>
        <v>0</v>
      </c>
      <c r="BV122" s="64">
        <f t="shared" si="198"/>
        <v>0</v>
      </c>
      <c r="BW122" s="64">
        <f t="shared" si="198"/>
        <v>0</v>
      </c>
      <c r="BX122" s="64">
        <f t="shared" si="198"/>
        <v>0</v>
      </c>
      <c r="BY122" s="64">
        <f t="shared" si="198"/>
        <v>0</v>
      </c>
      <c r="BZ122" s="64">
        <f t="shared" si="198"/>
        <v>0</v>
      </c>
      <c r="CA122" s="64">
        <f t="shared" si="198"/>
        <v>0</v>
      </c>
      <c r="CB122" s="64">
        <f t="shared" si="198"/>
        <v>0</v>
      </c>
      <c r="CC122" s="64">
        <f t="shared" si="198"/>
        <v>0</v>
      </c>
      <c r="CD122" s="64">
        <f t="shared" si="198"/>
        <v>0</v>
      </c>
      <c r="CE122" s="57">
        <f t="shared" si="198"/>
        <v>1024.8448657764827</v>
      </c>
      <c r="CF122" s="57">
        <f t="shared" si="198"/>
        <v>49638.198287374267</v>
      </c>
      <c r="CG122" s="57">
        <f t="shared" si="198"/>
        <v>49638.198287374275</v>
      </c>
      <c r="CH122" s="57">
        <f t="shared" si="198"/>
        <v>49638.198287374267</v>
      </c>
      <c r="CI122" s="57">
        <f t="shared" si="198"/>
        <v>49638.198287374267</v>
      </c>
      <c r="CJ122" s="57">
        <f t="shared" si="198"/>
        <v>49638.198287374267</v>
      </c>
      <c r="CK122" s="57">
        <f t="shared" si="198"/>
        <v>49638.198287374267</v>
      </c>
      <c r="CL122" s="57">
        <f t="shared" si="198"/>
        <v>12764215.411865721</v>
      </c>
    </row>
    <row r="123" spans="2:90" ht="12.6" customHeight="1" x14ac:dyDescent="0.2">
      <c r="D123" s="68"/>
    </row>
    <row r="126" spans="2:90" ht="12.6" customHeight="1" x14ac:dyDescent="0.2">
      <c r="D126" s="31"/>
    </row>
    <row r="128" spans="2:90" ht="12.6" customHeight="1" x14ac:dyDescent="0.2">
      <c r="D128" s="68"/>
    </row>
    <row r="129" spans="4:102" ht="12.6" customHeight="1" x14ac:dyDescent="0.2">
      <c r="D129" s="68"/>
    </row>
    <row r="130" spans="4:102" ht="12.6" customHeight="1" x14ac:dyDescent="0.2">
      <c r="D130" s="31"/>
    </row>
    <row r="143" spans="4:102" ht="12.6" customHeight="1" x14ac:dyDescent="0.2">
      <c r="F143" s="64"/>
      <c r="G143" s="102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  <c r="CK143" s="40"/>
      <c r="CL143" s="40"/>
      <c r="CM143" s="119"/>
      <c r="CN143" s="119"/>
      <c r="CO143" s="119"/>
      <c r="CP143" s="119"/>
      <c r="CQ143" s="119"/>
      <c r="CR143" s="119"/>
      <c r="CS143" s="119"/>
      <c r="CT143" s="119"/>
      <c r="CU143" s="119"/>
      <c r="CV143" s="119"/>
      <c r="CW143" s="119"/>
      <c r="CX143" s="119"/>
    </row>
    <row r="144" spans="4:102" ht="12.6" customHeight="1" x14ac:dyDescent="0.2"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  <c r="CK144" s="40"/>
      <c r="CL144" s="40"/>
      <c r="CM144" s="119"/>
      <c r="CN144" s="119"/>
      <c r="CO144" s="119"/>
      <c r="CP144" s="119"/>
      <c r="CQ144" s="119"/>
      <c r="CR144" s="119"/>
      <c r="CS144" s="119"/>
      <c r="CT144" s="119"/>
      <c r="CU144" s="119"/>
      <c r="CV144" s="119"/>
      <c r="CW144" s="119"/>
      <c r="CX144" s="119"/>
    </row>
    <row r="145" spans="6:102" ht="12.6" customHeight="1" x14ac:dyDescent="0.2">
      <c r="F145" s="64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G145" s="40"/>
      <c r="CH145" s="40"/>
      <c r="CI145" s="40"/>
      <c r="CJ145" s="40"/>
      <c r="CK145" s="40"/>
      <c r="CL145" s="40"/>
      <c r="CM145" s="119"/>
      <c r="CN145" s="119"/>
      <c r="CO145" s="119"/>
      <c r="CP145" s="119"/>
      <c r="CQ145" s="119"/>
      <c r="CR145" s="119"/>
      <c r="CS145" s="119"/>
      <c r="CT145" s="119"/>
      <c r="CU145" s="119"/>
      <c r="CV145" s="119"/>
      <c r="CW145" s="119"/>
      <c r="CX145" s="119"/>
    </row>
    <row r="146" spans="6:102" ht="12.6" customHeight="1" x14ac:dyDescent="0.2">
      <c r="F146" s="102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G146" s="40"/>
      <c r="CH146" s="40"/>
      <c r="CI146" s="40"/>
      <c r="CJ146" s="40"/>
      <c r="CK146" s="40"/>
      <c r="CL146" s="40"/>
      <c r="CM146" s="119"/>
      <c r="CN146" s="119"/>
      <c r="CO146" s="119"/>
      <c r="CP146" s="119"/>
      <c r="CQ146" s="119"/>
      <c r="CR146" s="119"/>
      <c r="CS146" s="119"/>
      <c r="CT146" s="119"/>
      <c r="CU146" s="119"/>
      <c r="CV146" s="119"/>
      <c r="CW146" s="119"/>
      <c r="CX146" s="119"/>
    </row>
    <row r="147" spans="6:102" ht="12.6" customHeight="1" x14ac:dyDescent="0.2">
      <c r="F147" s="40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</row>
    <row r="148" spans="6:102" ht="12.6" customHeight="1" x14ac:dyDescent="0.2">
      <c r="F148" s="64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C148" s="40"/>
      <c r="CD148" s="40"/>
      <c r="CE148" s="40"/>
      <c r="CF148" s="40"/>
      <c r="CG148" s="40"/>
      <c r="CH148" s="40"/>
      <c r="CI148" s="40"/>
      <c r="CJ148" s="40"/>
      <c r="CK148" s="40"/>
      <c r="CL148" s="40"/>
    </row>
    <row r="149" spans="6:102" ht="12.6" customHeight="1" x14ac:dyDescent="0.2"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G149" s="40"/>
      <c r="CH149" s="40"/>
      <c r="CI149" s="40"/>
      <c r="CJ149" s="40"/>
      <c r="CK149" s="40"/>
      <c r="CL149" s="40"/>
    </row>
    <row r="150" spans="6:102" ht="12.6" customHeight="1" x14ac:dyDescent="0.2"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G150" s="40"/>
      <c r="CH150" s="40"/>
      <c r="CI150" s="40"/>
      <c r="CJ150" s="40"/>
      <c r="CK150" s="40"/>
      <c r="CL150" s="40"/>
    </row>
    <row r="151" spans="6:102" ht="12.6" customHeight="1" x14ac:dyDescent="0.2"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C151" s="40"/>
      <c r="CD151" s="40"/>
      <c r="CE151" s="40"/>
      <c r="CF151" s="40"/>
      <c r="CG151" s="40"/>
      <c r="CH151" s="40"/>
      <c r="CI151" s="40"/>
      <c r="CJ151" s="40"/>
      <c r="CK151" s="40"/>
      <c r="CL151" s="40"/>
    </row>
    <row r="152" spans="6:102" ht="12.6" customHeight="1" x14ac:dyDescent="0.2"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  <c r="BW152" s="40"/>
      <c r="BX152" s="40"/>
      <c r="BY152" s="40"/>
      <c r="BZ152" s="40"/>
      <c r="CA152" s="40"/>
      <c r="CB152" s="40"/>
      <c r="CC152" s="40"/>
      <c r="CD152" s="40"/>
      <c r="CE152" s="40"/>
      <c r="CF152" s="40"/>
      <c r="CG152" s="40"/>
      <c r="CH152" s="40"/>
      <c r="CI152" s="40"/>
      <c r="CJ152" s="40"/>
      <c r="CK152" s="40"/>
      <c r="CL152" s="40"/>
    </row>
    <row r="153" spans="6:102" ht="12.6" customHeight="1" x14ac:dyDescent="0.2"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  <c r="BW153" s="40"/>
      <c r="BX153" s="40"/>
      <c r="BY153" s="40"/>
      <c r="BZ153" s="40"/>
      <c r="CA153" s="40"/>
      <c r="CB153" s="40"/>
      <c r="CC153" s="40"/>
      <c r="CD153" s="40"/>
      <c r="CE153" s="40"/>
      <c r="CF153" s="40"/>
      <c r="CG153" s="40"/>
      <c r="CH153" s="40"/>
      <c r="CI153" s="40"/>
      <c r="CJ153" s="40"/>
      <c r="CK153" s="40"/>
      <c r="CL153" s="40"/>
    </row>
    <row r="155" spans="6:102" ht="12.6" customHeight="1" x14ac:dyDescent="0.2">
      <c r="CM155" s="173"/>
      <c r="CN155" s="173"/>
      <c r="CO155" s="173"/>
      <c r="CP155" s="173"/>
      <c r="CQ155" s="173"/>
      <c r="CR155" s="173"/>
      <c r="CS155" s="173"/>
      <c r="CT155" s="173"/>
      <c r="CU155" s="173"/>
      <c r="CV155" s="173"/>
      <c r="CW155" s="173"/>
      <c r="CX155" s="173"/>
    </row>
    <row r="156" spans="6:102" ht="12.6" customHeight="1" x14ac:dyDescent="0.2">
      <c r="CM156" s="119"/>
      <c r="CN156" s="119"/>
      <c r="CO156" s="119"/>
      <c r="CP156" s="119"/>
      <c r="CQ156" s="119"/>
      <c r="CR156" s="119"/>
      <c r="CS156" s="119"/>
      <c r="CT156" s="119"/>
      <c r="CU156" s="119"/>
      <c r="CV156" s="119"/>
      <c r="CW156" s="119"/>
      <c r="CX156" s="119"/>
    </row>
    <row r="157" spans="6:102" ht="12.6" customHeight="1" x14ac:dyDescent="0.2">
      <c r="CM157" s="119"/>
      <c r="CN157" s="119"/>
      <c r="CO157" s="119"/>
      <c r="CP157" s="119"/>
      <c r="CQ157" s="119"/>
      <c r="CR157" s="119"/>
      <c r="CS157" s="119"/>
      <c r="CT157" s="119"/>
      <c r="CU157" s="119"/>
      <c r="CV157" s="119"/>
      <c r="CW157" s="119"/>
      <c r="CX157" s="119"/>
    </row>
    <row r="158" spans="6:102" ht="12.6" customHeight="1" x14ac:dyDescent="0.2">
      <c r="CM158" s="173"/>
      <c r="CN158" s="173"/>
      <c r="CO158" s="173"/>
      <c r="CP158" s="173"/>
      <c r="CQ158" s="173"/>
      <c r="CR158" s="173"/>
      <c r="CS158" s="173"/>
      <c r="CT158" s="173"/>
      <c r="CU158" s="173"/>
      <c r="CV158" s="173"/>
      <c r="CW158" s="173"/>
      <c r="CX158" s="173"/>
    </row>
    <row r="159" spans="6:102" ht="12.6" customHeight="1" x14ac:dyDescent="0.2">
      <c r="CM159" s="119"/>
      <c r="CN159" s="119"/>
      <c r="CO159" s="119"/>
      <c r="CP159" s="119"/>
      <c r="CQ159" s="119"/>
      <c r="CR159" s="119"/>
      <c r="CS159" s="119"/>
      <c r="CT159" s="119"/>
      <c r="CU159" s="119"/>
      <c r="CV159" s="119"/>
      <c r="CW159" s="119"/>
      <c r="CX159" s="119"/>
    </row>
    <row r="181" spans="2:90" ht="12.6" customHeight="1" x14ac:dyDescent="0.2">
      <c r="D181" s="31"/>
      <c r="E181" s="58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  <c r="BV181" s="57"/>
      <c r="BW181" s="57"/>
      <c r="BX181" s="57"/>
      <c r="BY181" s="57"/>
      <c r="BZ181" s="57"/>
      <c r="CA181" s="57"/>
      <c r="CB181" s="57"/>
      <c r="CC181" s="57"/>
      <c r="CD181" s="57"/>
      <c r="CE181" s="57"/>
      <c r="CF181" s="57"/>
      <c r="CG181" s="57"/>
      <c r="CH181" s="57"/>
      <c r="CI181" s="57"/>
      <c r="CJ181" s="57"/>
      <c r="CK181" s="57"/>
      <c r="CL181" s="57"/>
    </row>
    <row r="183" spans="2:90" ht="12.6" customHeight="1" x14ac:dyDescent="0.2">
      <c r="D183" s="68"/>
    </row>
    <row r="184" spans="2:90" ht="12.6" customHeight="1" x14ac:dyDescent="0.2">
      <c r="D184" s="68"/>
    </row>
    <row r="185" spans="2:90" ht="12.6" customHeight="1" x14ac:dyDescent="0.2">
      <c r="D185" s="88"/>
    </row>
    <row r="189" spans="2:90" ht="12.6" customHeight="1" x14ac:dyDescent="0.15">
      <c r="C189" s="128"/>
      <c r="D189" s="128"/>
      <c r="E189" s="129"/>
      <c r="F189" s="131"/>
      <c r="G189" s="128"/>
      <c r="H189" s="129"/>
      <c r="I189" s="130"/>
    </row>
    <row r="190" spans="2:90" ht="12.6" customHeight="1" x14ac:dyDescent="0.15">
      <c r="B190" s="128"/>
      <c r="C190" s="128"/>
      <c r="D190" s="128"/>
      <c r="E190" s="128"/>
      <c r="F190" s="128"/>
      <c r="G190" s="128"/>
      <c r="H190" s="128"/>
      <c r="I190" s="128"/>
    </row>
    <row r="191" spans="2:90" ht="12.6" customHeight="1" x14ac:dyDescent="0.15">
      <c r="B191" s="134"/>
      <c r="C191" s="31"/>
      <c r="D191" s="31"/>
      <c r="E191" s="31"/>
      <c r="F191" s="31"/>
      <c r="G191" s="31"/>
      <c r="H191" s="31"/>
      <c r="I191" s="31"/>
    </row>
    <row r="192" spans="2:90" ht="12.6" customHeight="1" x14ac:dyDescent="0.15">
      <c r="B192" s="131"/>
      <c r="C192" s="136"/>
      <c r="D192" s="136"/>
      <c r="E192" s="136"/>
      <c r="F192" s="136"/>
      <c r="G192" s="136"/>
      <c r="H192" s="128"/>
      <c r="I192" s="128"/>
    </row>
    <row r="193" spans="2:9" ht="12.6" customHeight="1" x14ac:dyDescent="0.15">
      <c r="B193" s="131"/>
      <c r="C193" s="136"/>
      <c r="D193" s="136"/>
      <c r="E193" s="136"/>
      <c r="F193" s="136"/>
      <c r="G193" s="136"/>
      <c r="H193" s="128"/>
      <c r="I193" s="128"/>
    </row>
    <row r="194" spans="2:9" ht="12.6" customHeight="1" x14ac:dyDescent="0.15">
      <c r="B194" s="135"/>
      <c r="C194" s="136"/>
      <c r="D194" s="136"/>
      <c r="E194" s="136"/>
      <c r="F194" s="136"/>
      <c r="G194" s="136"/>
      <c r="H194" s="128"/>
      <c r="I194" s="128"/>
    </row>
    <row r="195" spans="2:9" ht="12.6" customHeight="1" x14ac:dyDescent="0.15">
      <c r="B195" s="131"/>
      <c r="C195" s="136"/>
      <c r="D195" s="136"/>
      <c r="E195" s="136"/>
      <c r="F195" s="136"/>
      <c r="G195" s="136"/>
      <c r="H195" s="128"/>
      <c r="I195" s="128"/>
    </row>
    <row r="196" spans="2:9" ht="12.6" customHeight="1" x14ac:dyDescent="0.15">
      <c r="B196" s="131"/>
      <c r="C196" s="136"/>
      <c r="D196" s="136"/>
      <c r="E196" s="136"/>
      <c r="F196" s="136"/>
      <c r="G196" s="136"/>
      <c r="H196" s="128"/>
      <c r="I196" s="128"/>
    </row>
    <row r="197" spans="2:9" ht="12.6" customHeight="1" x14ac:dyDescent="0.15">
      <c r="B197" s="130"/>
      <c r="C197" s="132"/>
      <c r="D197" s="132"/>
      <c r="E197" s="132"/>
      <c r="F197" s="132"/>
      <c r="G197" s="132"/>
      <c r="H197" s="132"/>
      <c r="I197" s="128"/>
    </row>
  </sheetData>
  <mergeCells count="35">
    <mergeCell ref="Y2:AA2"/>
    <mergeCell ref="AB2:AD2"/>
    <mergeCell ref="AE2:AG2"/>
    <mergeCell ref="AW2:AY2"/>
    <mergeCell ref="AZ2:BB2"/>
    <mergeCell ref="J2:L2"/>
    <mergeCell ref="M2:O2"/>
    <mergeCell ref="P2:R2"/>
    <mergeCell ref="S2:U2"/>
    <mergeCell ref="V2:X2"/>
    <mergeCell ref="BC2:BE2"/>
    <mergeCell ref="BF2:BH2"/>
    <mergeCell ref="BI2:BK2"/>
    <mergeCell ref="B14:C14"/>
    <mergeCell ref="CM2:CO2"/>
    <mergeCell ref="BR2:BT2"/>
    <mergeCell ref="AK2:AM2"/>
    <mergeCell ref="AN2:AP2"/>
    <mergeCell ref="AQ2:AS2"/>
    <mergeCell ref="AT2:AV2"/>
    <mergeCell ref="BL2:BN2"/>
    <mergeCell ref="BO2:BQ2"/>
    <mergeCell ref="AH2:AJ2"/>
    <mergeCell ref="B2:D2"/>
    <mergeCell ref="E2:F2"/>
    <mergeCell ref="G2:I2"/>
    <mergeCell ref="CP2:CR2"/>
    <mergeCell ref="CS2:CU2"/>
    <mergeCell ref="CV2:CX2"/>
    <mergeCell ref="BU2:BW2"/>
    <mergeCell ref="BX2:BZ2"/>
    <mergeCell ref="CA2:CC2"/>
    <mergeCell ref="CD2:CF2"/>
    <mergeCell ref="CG2:CI2"/>
    <mergeCell ref="CJ2:CL2"/>
  </mergeCells>
  <pageMargins left="0.7" right="0.7" top="0.75" bottom="0.75" header="0.3" footer="0.3"/>
  <pageSetup paperSize="3" scale="2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4AB2-22AE-4D7D-8D88-2FF01E9F5EAB}">
  <sheetPr>
    <pageSetUpPr fitToPage="1"/>
  </sheetPr>
  <dimension ref="B2:GE147"/>
  <sheetViews>
    <sheetView showGridLines="0" tabSelected="1" topLeftCell="B1" zoomScaleNormal="100" workbookViewId="0">
      <pane ySplit="8" topLeftCell="A58" activePane="bottomLeft" state="frozen"/>
      <selection pane="bottomLeft" activeCell="G76" sqref="G76"/>
    </sheetView>
  </sheetViews>
  <sheetFormatPr defaultColWidth="9.140625" defaultRowHeight="12.6" customHeight="1" x14ac:dyDescent="0.2"/>
  <cols>
    <col min="1" max="1" width="9.140625" style="22"/>
    <col min="2" max="2" width="41.5703125" style="22" customWidth="1"/>
    <col min="3" max="3" width="21" style="22" bestFit="1" customWidth="1"/>
    <col min="4" max="4" width="14.7109375" style="22" bestFit="1" customWidth="1"/>
    <col min="5" max="5" width="14.28515625" style="22" customWidth="1"/>
    <col min="6" max="14" width="12.7109375" style="22" customWidth="1"/>
    <col min="15" max="15" width="10" style="22" bestFit="1" customWidth="1"/>
    <col min="16" max="16384" width="9.140625" style="22"/>
  </cols>
  <sheetData>
    <row r="2" spans="2:15" ht="12.6" customHeight="1" x14ac:dyDescent="0.2">
      <c r="B2" s="205" t="s">
        <v>145</v>
      </c>
      <c r="C2" s="206"/>
      <c r="D2" s="206"/>
      <c r="E2" s="206"/>
      <c r="F2" s="206"/>
      <c r="G2" s="103"/>
      <c r="H2" s="103"/>
      <c r="I2" s="103"/>
      <c r="J2" s="103"/>
      <c r="K2" s="103"/>
      <c r="L2" s="103"/>
      <c r="M2" s="103"/>
      <c r="N2" s="103"/>
    </row>
    <row r="3" spans="2:15" ht="12.6" customHeight="1" x14ac:dyDescent="0.2">
      <c r="B3" s="106" t="s">
        <v>86</v>
      </c>
      <c r="C3" s="42"/>
      <c r="D3" s="107">
        <f>Assumptions!B31</f>
        <v>46023</v>
      </c>
    </row>
    <row r="4" spans="2:15" ht="12.6" customHeight="1" x14ac:dyDescent="0.2">
      <c r="B4" s="108" t="s">
        <v>87</v>
      </c>
      <c r="C4" s="24"/>
      <c r="D4" s="109">
        <v>48579</v>
      </c>
    </row>
    <row r="5" spans="2:15" ht="12.6" customHeight="1" x14ac:dyDescent="0.2">
      <c r="B5" s="108" t="s">
        <v>34</v>
      </c>
      <c r="C5" s="24"/>
      <c r="D5" s="110">
        <f>Assumptions!B23</f>
        <v>300</v>
      </c>
    </row>
    <row r="6" spans="2:15" ht="12.6" customHeight="1" x14ac:dyDescent="0.2">
      <c r="B6" s="111" t="s">
        <v>78</v>
      </c>
      <c r="C6" s="112"/>
      <c r="D6" s="113">
        <f>Assumptions!B24</f>
        <v>3750</v>
      </c>
    </row>
    <row r="7" spans="2:15" ht="12.6" customHeight="1" x14ac:dyDescent="0.2">
      <c r="B7" s="23"/>
      <c r="C7" s="24"/>
      <c r="D7" s="26"/>
      <c r="F7" s="39">
        <v>0</v>
      </c>
      <c r="G7" s="39">
        <f>$F$7+1</f>
        <v>1</v>
      </c>
      <c r="H7" s="39">
        <f t="shared" ref="H7:N7" si="0">G7+1</f>
        <v>2</v>
      </c>
      <c r="I7" s="39">
        <f t="shared" si="0"/>
        <v>3</v>
      </c>
      <c r="J7" s="39">
        <f t="shared" si="0"/>
        <v>4</v>
      </c>
      <c r="K7" s="39">
        <f t="shared" si="0"/>
        <v>5</v>
      </c>
      <c r="L7" s="39">
        <f t="shared" si="0"/>
        <v>6</v>
      </c>
      <c r="M7" s="39">
        <f t="shared" si="0"/>
        <v>7</v>
      </c>
      <c r="N7" s="39">
        <f t="shared" si="0"/>
        <v>8</v>
      </c>
    </row>
    <row r="8" spans="2:15" ht="12.6" customHeight="1" x14ac:dyDescent="0.2">
      <c r="F8" s="115">
        <f>'DCF Model'!F7</f>
        <v>46023</v>
      </c>
      <c r="G8" s="115">
        <f>'DCF Model'!R7</f>
        <v>46387</v>
      </c>
      <c r="H8" s="115">
        <f>'DCF Model'!AD7</f>
        <v>46752</v>
      </c>
      <c r="I8" s="115">
        <f>'DCF Model'!AP7</f>
        <v>47118</v>
      </c>
      <c r="J8" s="115">
        <f>'DCF Model'!BB7</f>
        <v>47483</v>
      </c>
      <c r="K8" s="115">
        <f>'DCF Model'!BN7</f>
        <v>47848</v>
      </c>
      <c r="L8" s="115">
        <f>'DCF Model'!BZ7</f>
        <v>48213</v>
      </c>
      <c r="M8" s="115">
        <f>'DCF Model'!CL7</f>
        <v>48579</v>
      </c>
      <c r="N8" s="115">
        <f>'DCF Model'!CX7</f>
        <v>48944</v>
      </c>
    </row>
    <row r="9" spans="2:15" ht="12.6" customHeight="1" x14ac:dyDescent="0.2">
      <c r="B9" s="33" t="s">
        <v>88</v>
      </c>
    </row>
    <row r="10" spans="2:15" ht="12.6" customHeight="1" x14ac:dyDescent="0.2">
      <c r="B10" s="34" t="s">
        <v>106</v>
      </c>
      <c r="D10" s="29">
        <f>Assumptions!L17</f>
        <v>4200000</v>
      </c>
      <c r="F10" s="30"/>
      <c r="G10" s="29">
        <f>SUM('DCF Model'!G16:R16)</f>
        <v>4500000</v>
      </c>
      <c r="H10" s="29">
        <f>SUM('DCF Model'!S16:AD16)</f>
        <v>4725000</v>
      </c>
      <c r="I10" s="29">
        <f>SUM('DCF Model'!AE16:AP16)</f>
        <v>4914000</v>
      </c>
      <c r="J10" s="29">
        <f>SUM('DCF Model'!AQ16:BB16)</f>
        <v>5061420</v>
      </c>
      <c r="K10" s="29">
        <f>SUM('DCF Model'!BC16:BN16)</f>
        <v>5213262.5999999987</v>
      </c>
      <c r="L10" s="29">
        <f>SUM('DCF Model'!BO16:BZ16)</f>
        <v>5369660.4780000001</v>
      </c>
      <c r="M10" s="29">
        <f>SUM('DCF Model'!CA16:CL16)</f>
        <v>5530750.292340002</v>
      </c>
      <c r="N10" s="29">
        <f>SUM('DCF Model'!CM16:CX16)</f>
        <v>5696672.8011101997</v>
      </c>
    </row>
    <row r="11" spans="2:15" ht="12.6" customHeight="1" x14ac:dyDescent="0.2">
      <c r="B11" s="34" t="s">
        <v>95</v>
      </c>
      <c r="D11" s="29">
        <f>Assumptions!L19</f>
        <v>93750</v>
      </c>
      <c r="E11" s="31"/>
      <c r="G11" s="29">
        <f>SUM('DCF Model'!G17:R17)</f>
        <v>93750.000000000015</v>
      </c>
      <c r="H11" s="29">
        <f>SUM('DCF Model'!S17:AD17)</f>
        <v>98437.500000000015</v>
      </c>
      <c r="I11" s="29">
        <f>SUM('DCF Model'!AE17:AP17)</f>
        <v>102375.00000000001</v>
      </c>
      <c r="J11" s="29">
        <f>SUM('DCF Model'!AQ17:BB17)</f>
        <v>105446.25000000001</v>
      </c>
      <c r="K11" s="29">
        <f>SUM('DCF Model'!BC17:BN17)</f>
        <v>108609.63750000006</v>
      </c>
      <c r="L11" s="29">
        <f>SUM('DCF Model'!BO17:BZ17)</f>
        <v>111867.92662500001</v>
      </c>
      <c r="M11" s="29">
        <f>SUM('DCF Model'!CA17:CL17)</f>
        <v>115223.96442375</v>
      </c>
      <c r="N11" s="29">
        <f>SUM('DCF Model'!CM17:CX17)</f>
        <v>118680.68335646257</v>
      </c>
    </row>
    <row r="12" spans="2:15" ht="12.6" customHeight="1" x14ac:dyDescent="0.2">
      <c r="B12" s="34" t="s">
        <v>105</v>
      </c>
      <c r="D12" s="29">
        <f>Assumptions!L22</f>
        <v>125000</v>
      </c>
      <c r="E12" s="31"/>
      <c r="G12" s="29">
        <f>SUM('DCF Model'!G18:R18)</f>
        <v>125000.00000000001</v>
      </c>
      <c r="H12" s="29">
        <f>SUM('DCF Model'!S18:AD18)</f>
        <v>128750.00000000001</v>
      </c>
      <c r="I12" s="29">
        <f>SUM('DCF Model'!AE18:AP18)</f>
        <v>132612.50000000003</v>
      </c>
      <c r="J12" s="29">
        <f>SUM('DCF Model'!AQ18:BB18)</f>
        <v>136590.87500000003</v>
      </c>
      <c r="K12" s="29">
        <f>SUM('DCF Model'!BC18:BN18)</f>
        <v>140688.60125000004</v>
      </c>
      <c r="L12" s="29">
        <f>SUM('DCF Model'!BO18:BZ18)</f>
        <v>144909.2592875</v>
      </c>
      <c r="M12" s="29">
        <f>SUM('DCF Model'!CA18:CL18)</f>
        <v>149256.53706612499</v>
      </c>
      <c r="N12" s="29">
        <f>SUM('DCF Model'!CM18:CX18)</f>
        <v>153734.23317810879</v>
      </c>
    </row>
    <row r="13" spans="2:15" ht="12.6" customHeight="1" x14ac:dyDescent="0.2">
      <c r="B13" s="34" t="s">
        <v>104</v>
      </c>
      <c r="D13" s="29">
        <f>Assumptions!L21</f>
        <v>15000</v>
      </c>
      <c r="E13" s="31"/>
      <c r="G13" s="29">
        <f>SUM('DCF Model'!G19:R19)</f>
        <v>15450</v>
      </c>
      <c r="H13" s="29">
        <f>SUM('DCF Model'!S19:AD19)</f>
        <v>15913.5</v>
      </c>
      <c r="I13" s="29">
        <f>SUM('DCF Model'!AE19:AP19)</f>
        <v>16390.905000000002</v>
      </c>
      <c r="J13" s="29">
        <f>SUM('DCF Model'!AQ19:BB19)</f>
        <v>16882.632149999998</v>
      </c>
      <c r="K13" s="29">
        <f>SUM('DCF Model'!BC19:BN19)</f>
        <v>17389.1111145</v>
      </c>
      <c r="L13" s="29">
        <f>SUM('DCF Model'!BO19:BZ19)</f>
        <v>17910.784447934999</v>
      </c>
      <c r="M13" s="29">
        <f>SUM('DCF Model'!CA19:CL19)</f>
        <v>18448.107981373054</v>
      </c>
      <c r="N13" s="29">
        <f>SUM('DCF Model'!CM19:CX19)</f>
        <v>19001.551220814243</v>
      </c>
    </row>
    <row r="14" spans="2:15" ht="12.6" customHeight="1" x14ac:dyDescent="0.2">
      <c r="B14" s="34" t="s">
        <v>19</v>
      </c>
      <c r="D14" s="40">
        <f>Assumptions!L18</f>
        <v>-15000</v>
      </c>
      <c r="E14" s="31"/>
      <c r="G14" s="40">
        <f>SUM('DCF Model'!G20:R20)</f>
        <v>-33750</v>
      </c>
      <c r="H14" s="40">
        <f>SUM('DCF Model'!S20:AD20)</f>
        <v>-47250</v>
      </c>
      <c r="I14" s="40">
        <f>SUM('DCF Model'!AE20:AP20)</f>
        <v>-49140</v>
      </c>
      <c r="J14" s="40">
        <f>SUM('DCF Model'!AQ20:BB20)</f>
        <v>-50614.19999999999</v>
      </c>
      <c r="K14" s="40">
        <f>SUM('DCF Model'!BC20:BN20)</f>
        <v>-52132.626000000018</v>
      </c>
      <c r="L14" s="40">
        <f>SUM('DCF Model'!BO20:BZ20)</f>
        <v>-53696.604780000023</v>
      </c>
      <c r="M14" s="40">
        <f>SUM('DCF Model'!CA20:CL20)</f>
        <v>-55307.502923399989</v>
      </c>
      <c r="N14" s="40">
        <f>SUM('DCF Model'!CM20:CX20)</f>
        <v>-56966.728011102015</v>
      </c>
      <c r="O14" s="37"/>
    </row>
    <row r="15" spans="2:15" s="35" customFormat="1" ht="12.6" customHeight="1" x14ac:dyDescent="0.2">
      <c r="B15" s="41" t="s">
        <v>137</v>
      </c>
      <c r="C15" s="45"/>
      <c r="D15" s="43">
        <f>SUM(D10:D14)</f>
        <v>4418750</v>
      </c>
      <c r="E15" s="46"/>
      <c r="F15" s="45"/>
      <c r="G15" s="44">
        <f t="shared" ref="G15:M15" si="1">SUM(G10:G14)</f>
        <v>4700450</v>
      </c>
      <c r="H15" s="44">
        <f t="shared" si="1"/>
        <v>4920851</v>
      </c>
      <c r="I15" s="44">
        <f t="shared" si="1"/>
        <v>5116238.4050000003</v>
      </c>
      <c r="J15" s="44">
        <f t="shared" si="1"/>
        <v>5269725.5571499998</v>
      </c>
      <c r="K15" s="44">
        <f t="shared" si="1"/>
        <v>5427817.3238644991</v>
      </c>
      <c r="L15" s="44">
        <f t="shared" si="1"/>
        <v>5590651.843580436</v>
      </c>
      <c r="M15" s="44">
        <f t="shared" si="1"/>
        <v>5758371.3988878494</v>
      </c>
      <c r="N15" s="44">
        <f t="shared" ref="N15" si="2">SUM(N10:N14)</f>
        <v>5931122.5408544838</v>
      </c>
    </row>
    <row r="16" spans="2:15" ht="12.6" customHeight="1" x14ac:dyDescent="0.2">
      <c r="B16" s="34" t="s">
        <v>93</v>
      </c>
      <c r="D16" s="40">
        <f>Assumptions!L24</f>
        <v>-800000</v>
      </c>
      <c r="E16" s="31"/>
      <c r="G16" s="40">
        <f>SUM('DCF Model'!G22:R22)</f>
        <v>-900000</v>
      </c>
      <c r="H16" s="40">
        <f>SUM('DCF Model'!S22:AD22)</f>
        <v>-708750</v>
      </c>
      <c r="I16" s="40">
        <f>SUM('DCF Model'!AE22:AP22)</f>
        <v>-245700</v>
      </c>
      <c r="J16" s="40">
        <f>SUM('DCF Model'!AQ22:BB22)</f>
        <v>-253071</v>
      </c>
      <c r="K16" s="40">
        <f>SUM('DCF Model'!BC22:BN22)</f>
        <v>-260663.12999999998</v>
      </c>
      <c r="L16" s="40">
        <f>SUM('DCF Model'!BO22:BZ22)</f>
        <v>-268483.02389999997</v>
      </c>
      <c r="M16" s="40">
        <f>SUM('DCF Model'!CA22:CL22)</f>
        <v>-276537.51461700001</v>
      </c>
      <c r="N16" s="40">
        <f>SUM('DCF Model'!CM22:CX22)</f>
        <v>-284833.64005551004</v>
      </c>
    </row>
    <row r="17" spans="2:14" ht="12.6" customHeight="1" x14ac:dyDescent="0.2">
      <c r="B17" s="34" t="s">
        <v>94</v>
      </c>
      <c r="D17" s="40">
        <f>Assumptions!L20</f>
        <v>-9375</v>
      </c>
      <c r="E17" s="31"/>
      <c r="G17" s="40">
        <f>SUM('DCF Model'!G23:R23)</f>
        <v>-9375.0000000000018</v>
      </c>
      <c r="H17" s="40">
        <f>SUM('DCF Model'!S23:AD23)</f>
        <v>-9843.7500000000018</v>
      </c>
      <c r="I17" s="40">
        <f>SUM('DCF Model'!AE23:AP23)</f>
        <v>-10237.500000000002</v>
      </c>
      <c r="J17" s="40">
        <f>SUM('DCF Model'!AQ23:BB23)</f>
        <v>-10544.625000000002</v>
      </c>
      <c r="K17" s="40">
        <f>SUM('DCF Model'!BC23:BN23)</f>
        <v>-10860.963750000003</v>
      </c>
      <c r="L17" s="40">
        <f>SUM('DCF Model'!BO23:BZ23)</f>
        <v>-11186.792662500002</v>
      </c>
      <c r="M17" s="40">
        <f>SUM('DCF Model'!CA23:CL23)</f>
        <v>-11522.396442375006</v>
      </c>
      <c r="N17" s="40">
        <f>SUM('DCF Model'!CM23:CX23)</f>
        <v>-11868.068335646254</v>
      </c>
    </row>
    <row r="18" spans="2:14" ht="12.6" customHeight="1" x14ac:dyDescent="0.2">
      <c r="B18" s="34" t="s">
        <v>33</v>
      </c>
      <c r="D18" s="40">
        <f>Assumptions!L25</f>
        <v>-400000</v>
      </c>
      <c r="E18" s="31"/>
      <c r="G18" s="40">
        <f>SUM('DCF Model'!G24:R24)</f>
        <v>-459375</v>
      </c>
      <c r="H18" s="40">
        <f>SUM('DCF Model'!S24:AD24)</f>
        <v>-241171.875</v>
      </c>
      <c r="I18" s="40">
        <f>SUM('DCF Model'!AE24:AP24)</f>
        <v>-175573.12500000003</v>
      </c>
      <c r="J18" s="40">
        <f>SUM('DCF Model'!AQ24:BB24)</f>
        <v>-103337.32500000003</v>
      </c>
      <c r="K18" s="40">
        <f>SUM('DCF Model'!BC24:BN24)</f>
        <v>-106437.44474999997</v>
      </c>
      <c r="L18" s="40">
        <f>SUM('DCF Model'!BO24:BZ24)</f>
        <v>-109630.56809250002</v>
      </c>
      <c r="M18" s="40">
        <f>SUM('DCF Model'!CA24:CL24)</f>
        <v>-112919.48513527498</v>
      </c>
      <c r="N18" s="40">
        <f>SUM('DCF Model'!CM24:CX24)</f>
        <v>-116307.06968933325</v>
      </c>
    </row>
    <row r="19" spans="2:14" ht="12.6" customHeight="1" x14ac:dyDescent="0.2">
      <c r="B19" s="34" t="s">
        <v>103</v>
      </c>
      <c r="D19" s="40">
        <v>-110485</v>
      </c>
      <c r="E19" s="31"/>
      <c r="G19" s="40">
        <f>SUM('DCF Model'!G25:R25)</f>
        <v>-91875</v>
      </c>
      <c r="H19" s="40">
        <f>SUM('DCF Model'!S25:AD25)</f>
        <v>-96468.75</v>
      </c>
      <c r="I19" s="40">
        <f>SUM('DCF Model'!AE25:AP25)</f>
        <v>-100327.5</v>
      </c>
      <c r="J19" s="40">
        <f>SUM('DCF Model'!AQ25:BB25)</f>
        <v>-103337.32500000003</v>
      </c>
      <c r="K19" s="40">
        <f>SUM('DCF Model'!BC25:BN25)</f>
        <v>-106437.44474999997</v>
      </c>
      <c r="L19" s="40">
        <f>SUM('DCF Model'!BO25:BZ25)</f>
        <v>-109630.56809250002</v>
      </c>
      <c r="M19" s="40">
        <f>SUM('DCF Model'!CA25:CL25)</f>
        <v>-112919.48513527498</v>
      </c>
      <c r="N19" s="40">
        <f>SUM('DCF Model'!CM25:CX25)</f>
        <v>-116307.06968933325</v>
      </c>
    </row>
    <row r="20" spans="2:14" s="35" customFormat="1" ht="12.6" customHeight="1" x14ac:dyDescent="0.2">
      <c r="B20" s="41" t="s">
        <v>138</v>
      </c>
      <c r="C20" s="45"/>
      <c r="D20" s="43">
        <f>SUM(D15:D19)</f>
        <v>3098890</v>
      </c>
      <c r="E20" s="46"/>
      <c r="F20" s="45"/>
      <c r="G20" s="44">
        <f t="shared" ref="G20:L20" si="3">SUM(G15:G19)</f>
        <v>3239825</v>
      </c>
      <c r="H20" s="44">
        <f t="shared" si="3"/>
        <v>3864616.625</v>
      </c>
      <c r="I20" s="44">
        <f t="shared" si="3"/>
        <v>4584400.28</v>
      </c>
      <c r="J20" s="44">
        <f t="shared" si="3"/>
        <v>4799435.2821499994</v>
      </c>
      <c r="K20" s="44">
        <f t="shared" si="3"/>
        <v>4943418.3406144995</v>
      </c>
      <c r="L20" s="44">
        <f t="shared" si="3"/>
        <v>5091720.8908329355</v>
      </c>
      <c r="M20" s="44">
        <f t="shared" ref="M20" si="4">SUM(M15:M19)</f>
        <v>5244472.5175579246</v>
      </c>
      <c r="N20" s="44">
        <f t="shared" ref="N20" si="5">SUM(N15:N19)</f>
        <v>5401806.6930846609</v>
      </c>
    </row>
    <row r="21" spans="2:14" s="35" customFormat="1" ht="12.6" customHeight="1" x14ac:dyDescent="0.2">
      <c r="B21" s="33"/>
      <c r="D21" s="47"/>
      <c r="E21" s="36"/>
      <c r="G21" s="38"/>
      <c r="H21" s="38"/>
      <c r="I21" s="38"/>
      <c r="J21" s="38"/>
      <c r="K21" s="38"/>
      <c r="L21" s="38"/>
      <c r="M21" s="38"/>
      <c r="N21" s="38"/>
    </row>
    <row r="22" spans="2:14" ht="12.6" customHeight="1" x14ac:dyDescent="0.2">
      <c r="B22" s="33" t="s">
        <v>89</v>
      </c>
      <c r="E22" s="35"/>
    </row>
    <row r="23" spans="2:14" ht="12.6" customHeight="1" x14ac:dyDescent="0.2">
      <c r="B23" s="34" t="s">
        <v>38</v>
      </c>
      <c r="C23" s="34"/>
      <c r="D23" s="40">
        <f>Assumptions!L28</f>
        <v>-799318</v>
      </c>
      <c r="E23" s="31"/>
      <c r="G23" s="40">
        <f>SUM('DCF Model'!G36:R36)</f>
        <v>-823297.53999999992</v>
      </c>
      <c r="H23" s="40">
        <f>SUM('DCF Model'!S36:AD36)</f>
        <v>-847996.46620000026</v>
      </c>
      <c r="I23" s="40">
        <f>SUM('DCF Model'!AE36:AP36)</f>
        <v>-873436.36018599989</v>
      </c>
      <c r="J23" s="40">
        <f>SUM('DCF Model'!AQ36:BB36)</f>
        <v>-899639.45099157991</v>
      </c>
      <c r="K23" s="40">
        <f>SUM('DCF Model'!BC36:BN36)</f>
        <v>-926628.63452132733</v>
      </c>
      <c r="L23" s="40">
        <f>SUM('DCF Model'!BO36:BZ36)</f>
        <v>-954427.49355696759</v>
      </c>
      <c r="M23" s="40">
        <f>SUM('DCF Model'!CA36:CL36)</f>
        <v>-983060.31836367666</v>
      </c>
      <c r="N23" s="40">
        <f>SUM('DCF Model'!CM36:CX36)</f>
        <v>-1012552.1279145866</v>
      </c>
    </row>
    <row r="24" spans="2:14" ht="12.6" customHeight="1" x14ac:dyDescent="0.2">
      <c r="B24" s="34" t="s">
        <v>41</v>
      </c>
      <c r="C24" s="34"/>
      <c r="D24" s="40">
        <f>Assumptions!L29</f>
        <v>-125785</v>
      </c>
      <c r="E24" s="31"/>
      <c r="G24" s="40">
        <f>SUM('DCF Model'!G37:R37)</f>
        <v>-129558.55000000003</v>
      </c>
      <c r="H24" s="40">
        <f>SUM('DCF Model'!S37:AD37)</f>
        <v>-133445.30650000001</v>
      </c>
      <c r="I24" s="40">
        <f>SUM('DCF Model'!AE37:AP37)</f>
        <v>-137448.665695</v>
      </c>
      <c r="J24" s="40">
        <f>SUM('DCF Model'!AQ37:BB37)</f>
        <v>-141572.12566584998</v>
      </c>
      <c r="K24" s="40">
        <f>SUM('DCF Model'!BC37:BN37)</f>
        <v>-145819.28943582549</v>
      </c>
      <c r="L24" s="40">
        <f>SUM('DCF Model'!BO37:BZ37)</f>
        <v>-150193.86811890031</v>
      </c>
      <c r="M24" s="40">
        <f>SUM('DCF Model'!CA37:CL37)</f>
        <v>-154699.68416246728</v>
      </c>
      <c r="N24" s="40">
        <f>SUM('DCF Model'!CM37:CX37)</f>
        <v>-159340.67468734132</v>
      </c>
    </row>
    <row r="25" spans="2:14" ht="12.6" customHeight="1" x14ac:dyDescent="0.2">
      <c r="B25" s="34" t="s">
        <v>47</v>
      </c>
      <c r="C25" s="34"/>
      <c r="D25" s="40">
        <f>Assumptions!L31</f>
        <v>-927010</v>
      </c>
      <c r="E25" s="31"/>
      <c r="G25" s="40">
        <f>SUM('DCF Model'!G38:R38)</f>
        <v>-954820.30000000028</v>
      </c>
      <c r="H25" s="40">
        <f>SUM('DCF Model'!S38:AD38)</f>
        <v>-983464.9090000001</v>
      </c>
      <c r="I25" s="40">
        <f>SUM('DCF Model'!AE38:AP38)</f>
        <v>-1012968.85627</v>
      </c>
      <c r="J25" s="40">
        <f>SUM('DCF Model'!AQ38:BB38)</f>
        <v>-1043357.9219581002</v>
      </c>
      <c r="K25" s="40">
        <f>SUM('DCF Model'!BC38:BN38)</f>
        <v>-1074658.6596168433</v>
      </c>
      <c r="L25" s="40">
        <f>SUM('DCF Model'!BO38:BZ38)</f>
        <v>-1106898.4194053488</v>
      </c>
      <c r="M25" s="40">
        <f>SUM('DCF Model'!CA38:CL38)</f>
        <v>-1140105.3719875093</v>
      </c>
      <c r="N25" s="40">
        <f>SUM('DCF Model'!CM38:CX38)</f>
        <v>-1174308.5331471344</v>
      </c>
    </row>
    <row r="26" spans="2:14" ht="12.6" customHeight="1" x14ac:dyDescent="0.2">
      <c r="B26" s="34" t="s">
        <v>107</v>
      </c>
      <c r="C26" s="34"/>
      <c r="D26" s="40">
        <f>Assumptions!L30</f>
        <v>-122556</v>
      </c>
      <c r="E26" s="31"/>
      <c r="G26" s="40">
        <f>SUM('DCF Model'!G39:R39)</f>
        <v>-97194.75</v>
      </c>
      <c r="H26" s="40">
        <f>SUM('DCF Model'!S39:AD39)</f>
        <v>-115938.49875000001</v>
      </c>
      <c r="I26" s="40">
        <f>SUM('DCF Model'!AE39:AP39)</f>
        <v>-137532.00840000002</v>
      </c>
      <c r="J26" s="40">
        <f>SUM('DCF Model'!AQ39:BB39)</f>
        <v>-143983.05846450001</v>
      </c>
      <c r="K26" s="40">
        <f>SUM('DCF Model'!BC39:BN39)</f>
        <v>-148302.55021843495</v>
      </c>
      <c r="L26" s="40">
        <f>SUM('DCF Model'!BO39:BZ39)</f>
        <v>-152751.62672498808</v>
      </c>
      <c r="M26" s="40">
        <f>SUM('DCF Model'!CA39:CL39)</f>
        <v>-157334.1755267377</v>
      </c>
      <c r="N26" s="40">
        <f>SUM('DCF Model'!CM39:CX39)</f>
        <v>-162054.20079253975</v>
      </c>
    </row>
    <row r="27" spans="2:14" ht="12.6" customHeight="1" x14ac:dyDescent="0.2">
      <c r="B27" s="41" t="s">
        <v>90</v>
      </c>
      <c r="C27" s="42"/>
      <c r="D27" s="43">
        <f>SUM(D23:D26)</f>
        <v>-1974669</v>
      </c>
      <c r="E27" s="42"/>
      <c r="F27" s="42"/>
      <c r="G27" s="43">
        <f>SUM(G23:G26)</f>
        <v>-2004871.1400000001</v>
      </c>
      <c r="H27" s="43">
        <f t="shared" ref="H27:L27" si="6">SUM(H23:H26)</f>
        <v>-2080845.1804500006</v>
      </c>
      <c r="I27" s="43">
        <f t="shared" si="6"/>
        <v>-2161385.8905509999</v>
      </c>
      <c r="J27" s="43">
        <f t="shared" si="6"/>
        <v>-2228552.55708003</v>
      </c>
      <c r="K27" s="43">
        <f t="shared" si="6"/>
        <v>-2295409.1337924311</v>
      </c>
      <c r="L27" s="43">
        <f t="shared" si="6"/>
        <v>-2364271.4078062046</v>
      </c>
      <c r="M27" s="43">
        <f t="shared" ref="M27" si="7">SUM(M23:M26)</f>
        <v>-2435199.5500403908</v>
      </c>
      <c r="N27" s="43">
        <f t="shared" ref="N27" si="8">SUM(N23:N26)</f>
        <v>-2508255.5365416021</v>
      </c>
    </row>
    <row r="29" spans="2:14" ht="12.6" customHeight="1" x14ac:dyDescent="0.2">
      <c r="B29" s="34" t="s">
        <v>52</v>
      </c>
      <c r="C29" s="34"/>
      <c r="D29" s="40">
        <f>Assumptions!L33</f>
        <v>-45000</v>
      </c>
      <c r="G29" s="40">
        <f>-INDEX(Assumptions!$C$52:$M$52,MATCH('Annual Summary'!G7,Assumptions!$C$38:$M$38))*(G$7&gt;1)*$D$5</f>
        <v>0</v>
      </c>
      <c r="H29" s="40">
        <f>SUM('DCF Model'!S42:AD42)</f>
        <v>-60000</v>
      </c>
      <c r="I29" s="40">
        <f>SUM('DCF Model'!AE42:AP42)</f>
        <v>-61200</v>
      </c>
      <c r="J29" s="40">
        <f>SUM('DCF Model'!AQ42:BB42)</f>
        <v>-62400</v>
      </c>
      <c r="K29" s="40">
        <f>SUM('DCF Model'!BC42:BN42)</f>
        <v>-63600</v>
      </c>
      <c r="L29" s="40">
        <f>SUM('DCF Model'!BO42:BZ42)</f>
        <v>-64800</v>
      </c>
      <c r="M29" s="40">
        <f>SUM('DCF Model'!CA42:CL42)</f>
        <v>-66300</v>
      </c>
      <c r="N29" s="40">
        <f>SUM('DCF Model'!CM42:CX42)</f>
        <v>-67500</v>
      </c>
    </row>
    <row r="30" spans="2:14" ht="12.6" customHeight="1" x14ac:dyDescent="0.2">
      <c r="B30" s="63" t="s">
        <v>55</v>
      </c>
      <c r="C30" s="62"/>
      <c r="D30" s="61">
        <f>D20+D27+D29</f>
        <v>1079221</v>
      </c>
      <c r="E30" s="42"/>
      <c r="F30" s="42"/>
      <c r="G30" s="43">
        <f t="shared" ref="G30:M30" si="9">G20+G27+G29</f>
        <v>1234953.8599999999</v>
      </c>
      <c r="H30" s="43">
        <f t="shared" si="9"/>
        <v>1723771.4445499994</v>
      </c>
      <c r="I30" s="43">
        <f t="shared" si="9"/>
        <v>2361814.3894490004</v>
      </c>
      <c r="J30" s="43">
        <f t="shared" si="9"/>
        <v>2508482.7250699694</v>
      </c>
      <c r="K30" s="43">
        <f t="shared" si="9"/>
        <v>2584409.2068220684</v>
      </c>
      <c r="L30" s="43">
        <f t="shared" si="9"/>
        <v>2662649.4830267308</v>
      </c>
      <c r="M30" s="43">
        <f t="shared" si="9"/>
        <v>2742972.9675175338</v>
      </c>
      <c r="N30" s="43">
        <f t="shared" ref="N30" si="10">N20+N27+N29</f>
        <v>2826051.1565430588</v>
      </c>
    </row>
    <row r="32" spans="2:14" ht="12.6" customHeight="1" x14ac:dyDescent="0.2">
      <c r="B32" s="34" t="s">
        <v>58</v>
      </c>
      <c r="C32" s="34"/>
      <c r="D32" s="40">
        <f>Assumptions!L35</f>
        <v>-35000</v>
      </c>
      <c r="G32" s="40">
        <f>SUM('DCF Model'!G45:R45)</f>
        <v>-50000</v>
      </c>
      <c r="H32" s="40">
        <f>SUM('DCF Model'!S45:AD45)</f>
        <v>0</v>
      </c>
      <c r="I32" s="40">
        <f>SUM('DCF Model'!AE45:AP45)</f>
        <v>0</v>
      </c>
      <c r="J32" s="40">
        <f>SUM('DCF Model'!AQ45:BB45)</f>
        <v>0</v>
      </c>
      <c r="K32" s="40">
        <f>SUM('DCF Model'!BC45:BN45)</f>
        <v>0</v>
      </c>
      <c r="L32" s="40">
        <f>SUM('DCF Model'!BO45:BZ45)</f>
        <v>0</v>
      </c>
      <c r="M32" s="40">
        <f>SUM('DCF Model'!CA45:CL45)</f>
        <v>0</v>
      </c>
      <c r="N32" s="40">
        <f>SUM('DCF Model'!CB45:CM45)</f>
        <v>0</v>
      </c>
    </row>
    <row r="33" spans="2:100" ht="12.6" customHeight="1" x14ac:dyDescent="0.2">
      <c r="B33" s="60" t="s">
        <v>83</v>
      </c>
      <c r="C33" s="60"/>
      <c r="D33" s="61">
        <f>D30+D32</f>
        <v>1044221</v>
      </c>
      <c r="E33" s="42"/>
      <c r="F33" s="42"/>
      <c r="G33" s="43">
        <f t="shared" ref="G33:L33" si="11">G30+G32</f>
        <v>1184953.8599999999</v>
      </c>
      <c r="H33" s="43">
        <f t="shared" si="11"/>
        <v>1723771.4445499994</v>
      </c>
      <c r="I33" s="43">
        <f t="shared" si="11"/>
        <v>2361814.3894490004</v>
      </c>
      <c r="J33" s="43">
        <f t="shared" si="11"/>
        <v>2508482.7250699694</v>
      </c>
      <c r="K33" s="43">
        <f t="shared" si="11"/>
        <v>2584409.2068220684</v>
      </c>
      <c r="L33" s="43">
        <f t="shared" si="11"/>
        <v>2662649.4830267308</v>
      </c>
      <c r="M33" s="43">
        <f t="shared" ref="M33" si="12">M30+M32</f>
        <v>2742972.9675175338</v>
      </c>
      <c r="N33" s="43">
        <f t="shared" ref="N33" si="13">N30+N32</f>
        <v>2826051.1565430588</v>
      </c>
    </row>
    <row r="34" spans="2:100" ht="12.6" customHeight="1" x14ac:dyDescent="0.2">
      <c r="B34" s="22" t="s">
        <v>166</v>
      </c>
    </row>
    <row r="35" spans="2:100" ht="12.6" customHeight="1" x14ac:dyDescent="0.2">
      <c r="B35" s="22" t="s">
        <v>109</v>
      </c>
      <c r="G35" s="40">
        <f>IF(G7&lt;=Assumptions!$B$35,H30,0)</f>
        <v>1723771.4445499994</v>
      </c>
      <c r="H35" s="40">
        <f>IF(H7&lt;=Assumptions!$B$35,SUM('Annual Summary'!I30:I30),0)</f>
        <v>2361814.3894490004</v>
      </c>
      <c r="I35" s="40">
        <f>IF(I7&lt;=Assumptions!$B$35,SUM('Annual Summary'!J30:J30),0)</f>
        <v>2508482.7250699694</v>
      </c>
      <c r="J35" s="40">
        <f>IF(J7&lt;=Assumptions!$B$35,SUM('Annual Summary'!K30:K30),0)</f>
        <v>2584409.2068220684</v>
      </c>
      <c r="K35" s="40">
        <f>IF(K7&lt;=Assumptions!$B$35,SUM('Annual Summary'!L30:L30),0)</f>
        <v>2662649.4830267308</v>
      </c>
      <c r="L35" s="40">
        <f>IF(L7&lt;=Assumptions!$B$35,SUM('Annual Summary'!M30:M30),0)</f>
        <v>2742972.9675175338</v>
      </c>
      <c r="M35" s="40">
        <f>IF(M7&lt;=Assumptions!$B$35,SUM('Annual Summary'!N30:N30),0)</f>
        <v>2826051.1565430588</v>
      </c>
      <c r="N35" s="47"/>
    </row>
    <row r="36" spans="2:100" ht="12.6" customHeight="1" x14ac:dyDescent="0.2">
      <c r="B36" s="22" t="s">
        <v>110</v>
      </c>
      <c r="D36" s="58">
        <f>D30/D20</f>
        <v>0.34826050618124554</v>
      </c>
      <c r="G36" s="58">
        <f t="shared" ref="G36:M36" si="14">G30/G20</f>
        <v>0.38117918714745391</v>
      </c>
      <c r="H36" s="58">
        <f t="shared" si="14"/>
        <v>0.44603944241170351</v>
      </c>
      <c r="I36" s="58">
        <f t="shared" si="14"/>
        <v>0.51518502861818172</v>
      </c>
      <c r="J36" s="58">
        <f t="shared" si="14"/>
        <v>0.52266205868000504</v>
      </c>
      <c r="K36" s="58">
        <f t="shared" si="14"/>
        <v>0.52279799700318486</v>
      </c>
      <c r="L36" s="58">
        <f t="shared" si="14"/>
        <v>0.52293704625886472</v>
      </c>
      <c r="M36" s="58">
        <f t="shared" si="14"/>
        <v>0.52302170682263238</v>
      </c>
      <c r="N36" s="58"/>
    </row>
    <row r="38" spans="2:100" ht="12.6" customHeight="1" x14ac:dyDescent="0.2">
      <c r="B38" s="35" t="s">
        <v>111</v>
      </c>
    </row>
    <row r="39" spans="2:100" ht="12.6" customHeight="1" x14ac:dyDescent="0.2">
      <c r="B39" s="22" t="s">
        <v>112</v>
      </c>
      <c r="D39" s="29"/>
      <c r="F39" s="40">
        <f>-Assumptions!$B$32</f>
        <v>-20000000</v>
      </c>
      <c r="G39" s="64">
        <f>-Assumptions!$B$32*(G8='Annual Summary'!$D$3)</f>
        <v>0</v>
      </c>
      <c r="H39" s="64">
        <f>-Assumptions!$B$32*(H8='Annual Summary'!$D$3)</f>
        <v>0</v>
      </c>
      <c r="I39" s="64">
        <f>-Assumptions!$B$32*(I8='Annual Summary'!$D$3)</f>
        <v>0</v>
      </c>
      <c r="J39" s="64">
        <f>-Assumptions!$B$32*(J8='Annual Summary'!$D$3)</f>
        <v>0</v>
      </c>
      <c r="K39" s="64">
        <f>-Assumptions!$B$32*(K8='Annual Summary'!$D$3)</f>
        <v>0</v>
      </c>
      <c r="L39" s="64">
        <f>-Assumptions!$B$32*(L8='Annual Summary'!$D$3)</f>
        <v>0</v>
      </c>
      <c r="M39" s="64">
        <f>-Assumptions!$B$32*(M8='Annual Summary'!$D$3)</f>
        <v>0</v>
      </c>
      <c r="N39" s="64"/>
    </row>
    <row r="40" spans="2:100" ht="12.6" customHeight="1" x14ac:dyDescent="0.2">
      <c r="B40" s="22" t="s">
        <v>113</v>
      </c>
      <c r="F40" s="57">
        <f>F39*Assumptions!B33</f>
        <v>-400000</v>
      </c>
      <c r="G40" s="64">
        <f>G39*Assumptions!$C$33</f>
        <v>0</v>
      </c>
      <c r="H40" s="64">
        <f>H39*Assumptions!$C$33</f>
        <v>0</v>
      </c>
      <c r="I40" s="64">
        <f>I39*Assumptions!$C$33</f>
        <v>0</v>
      </c>
      <c r="J40" s="64">
        <f>J39*Assumptions!$C$33</f>
        <v>0</v>
      </c>
      <c r="K40" s="64">
        <f>K39*Assumptions!$C$33</f>
        <v>0</v>
      </c>
      <c r="L40" s="64">
        <f>L39*Assumptions!$C$33</f>
        <v>0</v>
      </c>
      <c r="M40" s="64">
        <f>M39*Assumptions!$C$33</f>
        <v>0</v>
      </c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</row>
    <row r="41" spans="2:100" ht="12.6" customHeight="1" x14ac:dyDescent="0.2">
      <c r="B41" s="22" t="s">
        <v>114</v>
      </c>
      <c r="F41" s="64">
        <f>F$35/Assumptions!$B$36*(F8=$D$4)</f>
        <v>0</v>
      </c>
      <c r="G41" s="64">
        <f>G$35/Assumptions!$B$36*(G8=$D$4)</f>
        <v>0</v>
      </c>
      <c r="H41" s="64">
        <f>H$35/Assumptions!$B$36*(H8=$D$4)</f>
        <v>0</v>
      </c>
      <c r="I41" s="64">
        <f>I$35/Assumptions!$B$36*(I8=$D$4)</f>
        <v>0</v>
      </c>
      <c r="J41" s="64">
        <f>J$35/Assumptions!$B$36*(J8=$D$4)</f>
        <v>0</v>
      </c>
      <c r="K41" s="64">
        <f>K$35/Assumptions!$B$36*(K8=$D$4)</f>
        <v>0</v>
      </c>
      <c r="L41" s="64">
        <f>L$35/Assumptions!$B$36*(L8=$D$4)</f>
        <v>0</v>
      </c>
      <c r="M41" s="40">
        <f>M$35/Assumptions!$B$36*(M8=$D$4)</f>
        <v>51382748.300782889</v>
      </c>
      <c r="N41" s="64"/>
    </row>
    <row r="42" spans="2:100" ht="12.6" customHeight="1" x14ac:dyDescent="0.2">
      <c r="B42" s="22" t="s">
        <v>115</v>
      </c>
      <c r="F42" s="64">
        <f>F41*Assumptions!$B$34</f>
        <v>0</v>
      </c>
      <c r="G42" s="64">
        <f>G41*Assumptions!$B$34</f>
        <v>0</v>
      </c>
      <c r="H42" s="64">
        <f>H41*Assumptions!$B$34</f>
        <v>0</v>
      </c>
      <c r="I42" s="64">
        <f>I41*Assumptions!$B$34</f>
        <v>0</v>
      </c>
      <c r="J42" s="64">
        <f>J41*Assumptions!$B$34</f>
        <v>0</v>
      </c>
      <c r="K42" s="64">
        <f>K41*Assumptions!$B$34</f>
        <v>0</v>
      </c>
      <c r="L42" s="64">
        <f>L41*Assumptions!$B$34</f>
        <v>0</v>
      </c>
      <c r="M42" s="40">
        <f>-M41*Assumptions!$B$34</f>
        <v>-1027654.9660156578</v>
      </c>
      <c r="N42" s="64"/>
    </row>
    <row r="43" spans="2:100" ht="12.6" customHeight="1" x14ac:dyDescent="0.2">
      <c r="B43" s="45" t="s">
        <v>144</v>
      </c>
      <c r="C43" s="45"/>
      <c r="D43" s="45"/>
      <c r="E43" s="45"/>
      <c r="F43" s="66">
        <f>SUM(F39:F42)</f>
        <v>-20400000</v>
      </c>
      <c r="G43" s="67">
        <f t="shared" ref="G43:L43" si="15">SUM(G39:G42)</f>
        <v>0</v>
      </c>
      <c r="H43" s="67">
        <f t="shared" si="15"/>
        <v>0</v>
      </c>
      <c r="I43" s="67">
        <f t="shared" si="15"/>
        <v>0</v>
      </c>
      <c r="J43" s="67">
        <f t="shared" si="15"/>
        <v>0</v>
      </c>
      <c r="K43" s="67">
        <f t="shared" si="15"/>
        <v>0</v>
      </c>
      <c r="L43" s="67">
        <f t="shared" si="15"/>
        <v>0</v>
      </c>
      <c r="M43" s="43">
        <f>SUM(M39:M42)</f>
        <v>50355093.33476723</v>
      </c>
    </row>
    <row r="45" spans="2:100" ht="12.6" customHeight="1" x14ac:dyDescent="0.2">
      <c r="B45" s="65" t="s">
        <v>116</v>
      </c>
      <c r="C45" s="62"/>
      <c r="D45" s="62"/>
      <c r="E45" s="42"/>
      <c r="F45" s="66">
        <f>F43+F33</f>
        <v>-20400000</v>
      </c>
      <c r="G45" s="66">
        <f>G43+G33</f>
        <v>1184953.8599999999</v>
      </c>
      <c r="H45" s="66">
        <f t="shared" ref="H45:L45" si="16">H43+H33</f>
        <v>1723771.4445499994</v>
      </c>
      <c r="I45" s="66">
        <f t="shared" si="16"/>
        <v>2361814.3894490004</v>
      </c>
      <c r="J45" s="66">
        <f t="shared" si="16"/>
        <v>2508482.7250699694</v>
      </c>
      <c r="K45" s="66">
        <f t="shared" si="16"/>
        <v>2584409.2068220684</v>
      </c>
      <c r="L45" s="66">
        <f t="shared" si="16"/>
        <v>2662649.4830267308</v>
      </c>
      <c r="M45" s="66">
        <f>M43+M33</f>
        <v>53098066.302284762</v>
      </c>
    </row>
    <row r="47" spans="2:100" ht="12.6" customHeight="1" x14ac:dyDescent="0.2">
      <c r="B47" s="69" t="s">
        <v>117</v>
      </c>
      <c r="C47" s="42"/>
      <c r="D47" s="70">
        <f>XIRR(F45:M45,F8:M8)</f>
        <v>0.21081997752189638</v>
      </c>
      <c r="F47" s="68"/>
    </row>
    <row r="48" spans="2:100" ht="12.6" customHeight="1" x14ac:dyDescent="0.2">
      <c r="B48" s="71" t="s">
        <v>118</v>
      </c>
      <c r="D48" s="72">
        <f>SUM(F45:M45)</f>
        <v>45724147.411202528</v>
      </c>
    </row>
    <row r="49" spans="2:13" ht="12.6" customHeight="1" x14ac:dyDescent="0.2">
      <c r="B49" s="73" t="s">
        <v>128</v>
      </c>
      <c r="C49" s="74"/>
      <c r="D49" s="75">
        <f>SUMIF(F45:M45,"&gt;"&amp;0) / -SUMIF(F45:M45,"&lt;"&amp;0)</f>
        <v>3.2413797750589479</v>
      </c>
    </row>
    <row r="50" spans="2:13" ht="12.6" customHeight="1" x14ac:dyDescent="0.2">
      <c r="B50" s="35"/>
      <c r="D50" s="90"/>
    </row>
    <row r="51" spans="2:13" ht="12.6" customHeight="1" x14ac:dyDescent="0.2">
      <c r="B51" s="35"/>
      <c r="D51" s="90"/>
    </row>
    <row r="52" spans="2:13" ht="12.6" customHeight="1" x14ac:dyDescent="0.2">
      <c r="B52" s="93" t="s">
        <v>119</v>
      </c>
      <c r="C52" s="62"/>
      <c r="D52" s="94"/>
    </row>
    <row r="53" spans="2:13" ht="12.6" customHeight="1" x14ac:dyDescent="0.2">
      <c r="B53" s="95" t="s">
        <v>112</v>
      </c>
      <c r="D53" s="96">
        <f>Assumptions!B32</f>
        <v>20000000</v>
      </c>
    </row>
    <row r="54" spans="2:13" ht="12.6" customHeight="1" x14ac:dyDescent="0.2">
      <c r="B54" s="95" t="s">
        <v>139</v>
      </c>
      <c r="D54" s="96">
        <f>D53*Assumptions!H17</f>
        <v>12000000</v>
      </c>
      <c r="E54" s="91"/>
    </row>
    <row r="55" spans="2:13" ht="12.6" customHeight="1" x14ac:dyDescent="0.2">
      <c r="B55" s="95" t="s">
        <v>59</v>
      </c>
      <c r="D55" s="97">
        <f>Assumptions!H18</f>
        <v>6.5000000000000002E-2</v>
      </c>
      <c r="I55" s="127"/>
    </row>
    <row r="56" spans="2:13" ht="12.6" customHeight="1" x14ac:dyDescent="0.2">
      <c r="B56" s="98" t="s">
        <v>26</v>
      </c>
      <c r="C56" s="92"/>
      <c r="D56" s="99">
        <v>30</v>
      </c>
    </row>
    <row r="57" spans="2:13" ht="12.6" customHeight="1" x14ac:dyDescent="0.2">
      <c r="B57" s="100" t="s">
        <v>140</v>
      </c>
      <c r="C57" s="74"/>
      <c r="D57" s="101">
        <f>PMT(D55,D56,D54)*-1</f>
        <v>918929.30695092713</v>
      </c>
    </row>
    <row r="58" spans="2:13" ht="12.6" customHeight="1" x14ac:dyDescent="0.2">
      <c r="B58" s="22" t="s">
        <v>120</v>
      </c>
      <c r="G58" s="40">
        <f>SUM('DCF Model'!G71:R71)</f>
        <v>-780000</v>
      </c>
      <c r="H58" s="40">
        <f>SUM('DCF Model'!S71:AD71)</f>
        <v>-780000</v>
      </c>
      <c r="I58" s="40">
        <f>SUM('DCF Model'!AE71:AP71)</f>
        <v>-776050.89755466953</v>
      </c>
      <c r="J58" s="40">
        <f>SUM('DCF Model'!AQ71:BB71)</f>
        <v>-767068.16019226995</v>
      </c>
      <c r="K58" s="40">
        <f>SUM('DCF Model'!BC71:BN71)</f>
        <v>-757483.83227265812</v>
      </c>
      <c r="L58" s="40">
        <f>SUM('DCF Model'!BO71:BZ71)</f>
        <v>-747257.62416207022</v>
      </c>
      <c r="M58" s="40">
        <f>SUM('DCF Model'!CA71:CL71)</f>
        <v>-736346.5479553527</v>
      </c>
    </row>
    <row r="59" spans="2:13" ht="12.6" customHeight="1" x14ac:dyDescent="0.2">
      <c r="B59" s="22" t="s">
        <v>29</v>
      </c>
      <c r="F59" s="40">
        <f>-F61*Assumptions!$H$21</f>
        <v>-120000</v>
      </c>
      <c r="G59" s="64">
        <f>-G61*Assumptions!$I$21</f>
        <v>0</v>
      </c>
      <c r="H59" s="64">
        <f>-H61*Assumptions!$I$21</f>
        <v>0</v>
      </c>
      <c r="I59" s="64">
        <f>-I61*Assumptions!$I$21</f>
        <v>0</v>
      </c>
      <c r="J59" s="64">
        <f>-J61*Assumptions!$I$21</f>
        <v>0</v>
      </c>
      <c r="K59" s="64">
        <f>-K61*Assumptions!$I$21</f>
        <v>0</v>
      </c>
      <c r="L59" s="64">
        <f>-L61*Assumptions!$I$21</f>
        <v>0</v>
      </c>
      <c r="M59" s="64">
        <f>-M61*Assumptions!$I$21</f>
        <v>0</v>
      </c>
    </row>
    <row r="60" spans="2:13" ht="12.6" customHeight="1" x14ac:dyDescent="0.2">
      <c r="B60" s="22" t="s">
        <v>121</v>
      </c>
      <c r="F60" s="64">
        <v>0</v>
      </c>
      <c r="G60" s="57">
        <f>F64</f>
        <v>12000000</v>
      </c>
      <c r="H60" s="57">
        <f t="shared" ref="H60:M60" si="17">G64</f>
        <v>12000000</v>
      </c>
      <c r="I60" s="57">
        <f t="shared" si="17"/>
        <v>12000000</v>
      </c>
      <c r="J60" s="57">
        <f t="shared" si="17"/>
        <v>11865872.943724802</v>
      </c>
      <c r="K60" s="57">
        <f t="shared" si="17"/>
        <v>11722763.150087204</v>
      </c>
      <c r="L60" s="57">
        <f t="shared" si="17"/>
        <v>11570069.028529994</v>
      </c>
      <c r="M60" s="57">
        <f t="shared" si="17"/>
        <v>11407148.698862197</v>
      </c>
    </row>
    <row r="61" spans="2:13" ht="12.6" customHeight="1" x14ac:dyDescent="0.2">
      <c r="B61" s="22" t="s">
        <v>122</v>
      </c>
      <c r="F61" s="40">
        <f>Assumptions!$B$32*Assumptions!$H$17*(F8=$D$3)</f>
        <v>12000000</v>
      </c>
      <c r="G61" s="64">
        <f>Assumptions!$B$32*Assumptions!$H$17*(G8=$D$3)</f>
        <v>0</v>
      </c>
      <c r="H61" s="64">
        <f>Assumptions!$B$32*Assumptions!$H$17*(H8=$D$3)</f>
        <v>0</v>
      </c>
      <c r="I61" s="64">
        <f>Assumptions!$B$32*Assumptions!$H$17*(I8=$D$3)</f>
        <v>0</v>
      </c>
      <c r="J61" s="64">
        <f>Assumptions!$B$32*Assumptions!$H$17*(J8=$D$3)</f>
        <v>0</v>
      </c>
      <c r="K61" s="64">
        <f>Assumptions!$B$32*Assumptions!$H$17*(K8=$D$3)</f>
        <v>0</v>
      </c>
      <c r="L61" s="64">
        <f>Assumptions!$B$32*Assumptions!$H$17*(L8=$D$3)</f>
        <v>0</v>
      </c>
      <c r="M61" s="64">
        <f>Assumptions!$B$32*Assumptions!$H$17*(M8=$D$3)</f>
        <v>0</v>
      </c>
    </row>
    <row r="62" spans="2:13" ht="12.6" customHeight="1" x14ac:dyDescent="0.2">
      <c r="B62" s="22" t="s">
        <v>123</v>
      </c>
      <c r="F62" s="64">
        <v>0</v>
      </c>
      <c r="G62" s="64">
        <f>SUM('DCF Model'!G75:R75)</f>
        <v>0</v>
      </c>
      <c r="H62" s="64">
        <f>SUM('DCF Model'!S75:AD75)</f>
        <v>0</v>
      </c>
      <c r="I62" s="40">
        <f>SUM('DCF Model'!AE75:AP75)</f>
        <v>-134127.05627519835</v>
      </c>
      <c r="J62" s="40">
        <f>SUM('DCF Model'!AQ75:BB75)</f>
        <v>-143109.79363759785</v>
      </c>
      <c r="K62" s="40">
        <f>SUM('DCF Model'!BC75:BN75)</f>
        <v>-152694.12155720964</v>
      </c>
      <c r="L62" s="40">
        <f>SUM('DCF Model'!BO75:BZ75)</f>
        <v>-162920.32966779766</v>
      </c>
      <c r="M62" s="40">
        <f>SUM('DCF Model'!CA75:CL75)</f>
        <v>-173831.40587451504</v>
      </c>
    </row>
    <row r="63" spans="2:13" ht="12.6" customHeight="1" x14ac:dyDescent="0.2">
      <c r="B63" s="22" t="s">
        <v>124</v>
      </c>
      <c r="F63" s="64">
        <f>-SUM(F60:F62)*(F8=$D$4)</f>
        <v>0</v>
      </c>
      <c r="G63" s="64">
        <f>-SUM(G60:G62)*(G8=$D$4)</f>
        <v>0</v>
      </c>
      <c r="H63" s="64">
        <f t="shared" ref="H63:L63" si="18">-SUM(H60:H62)*(H8=$D$4)</f>
        <v>0</v>
      </c>
      <c r="I63" s="64">
        <f t="shared" si="18"/>
        <v>0</v>
      </c>
      <c r="J63" s="64">
        <f t="shared" si="18"/>
        <v>0</v>
      </c>
      <c r="K63" s="64">
        <f t="shared" si="18"/>
        <v>0</v>
      </c>
      <c r="L63" s="64">
        <f t="shared" si="18"/>
        <v>0</v>
      </c>
      <c r="M63" s="64">
        <f>-SUM(M60:M62)*(M8=$D$4)</f>
        <v>-11233317.292987682</v>
      </c>
    </row>
    <row r="64" spans="2:13" ht="12.6" customHeight="1" x14ac:dyDescent="0.2">
      <c r="B64" s="45" t="s">
        <v>125</v>
      </c>
      <c r="C64" s="42"/>
      <c r="D64" s="42"/>
      <c r="E64" s="42"/>
      <c r="F64" s="77">
        <f>SUM(F60:F63)</f>
        <v>12000000</v>
      </c>
      <c r="G64" s="77">
        <f>SUM(G60:G63)</f>
        <v>12000000</v>
      </c>
      <c r="H64" s="77">
        <f t="shared" ref="H64:L64" si="19">SUM(H60:H63)</f>
        <v>12000000</v>
      </c>
      <c r="I64" s="77">
        <f t="shared" si="19"/>
        <v>11865872.943724802</v>
      </c>
      <c r="J64" s="77">
        <f t="shared" si="19"/>
        <v>11722763.150087204</v>
      </c>
      <c r="K64" s="77">
        <f t="shared" si="19"/>
        <v>11570069.028529994</v>
      </c>
      <c r="L64" s="77">
        <f t="shared" si="19"/>
        <v>11407148.698862197</v>
      </c>
      <c r="M64" s="77">
        <f t="shared" ref="M64" si="20">SUM(M60:M63)</f>
        <v>0</v>
      </c>
    </row>
    <row r="65" spans="2:187" ht="12.6" customHeight="1" x14ac:dyDescent="0.2">
      <c r="B65" s="22" t="s">
        <v>166</v>
      </c>
      <c r="F65" s="40"/>
      <c r="G65" s="177">
        <f>G30/-G58</f>
        <v>1.5832741794871794</v>
      </c>
      <c r="H65" s="177">
        <f t="shared" ref="H65:M65" si="21">H30/-H58</f>
        <v>2.209963390448717</v>
      </c>
      <c r="I65" s="177">
        <f t="shared" si="21"/>
        <v>3.0433756302467527</v>
      </c>
      <c r="J65" s="177">
        <f t="shared" si="21"/>
        <v>3.2702214161010206</v>
      </c>
      <c r="K65" s="177">
        <f t="shared" si="21"/>
        <v>3.4118341497377389</v>
      </c>
      <c r="L65" s="177">
        <f t="shared" si="21"/>
        <v>3.5632282588116326</v>
      </c>
      <c r="M65" s="177">
        <f t="shared" si="21"/>
        <v>3.7251114643425338</v>
      </c>
    </row>
    <row r="67" spans="2:187" ht="12.6" customHeight="1" x14ac:dyDescent="0.2">
      <c r="B67" s="65" t="s">
        <v>126</v>
      </c>
      <c r="C67" s="62"/>
      <c r="D67" s="62"/>
      <c r="E67" s="42"/>
      <c r="F67" s="66">
        <f t="shared" ref="F67:M67" si="22">SUM(F45,F58,F59,F61:F63)</f>
        <v>-8520000</v>
      </c>
      <c r="G67" s="66">
        <f t="shared" si="22"/>
        <v>404953.85999999987</v>
      </c>
      <c r="H67" s="66">
        <f t="shared" si="22"/>
        <v>943771.44454999943</v>
      </c>
      <c r="I67" s="66">
        <f t="shared" si="22"/>
        <v>1451636.4356191326</v>
      </c>
      <c r="J67" s="66">
        <f t="shared" si="22"/>
        <v>1598304.7712401017</v>
      </c>
      <c r="K67" s="66">
        <f t="shared" si="22"/>
        <v>1674231.2529922007</v>
      </c>
      <c r="L67" s="66">
        <f t="shared" si="22"/>
        <v>1752471.5291968631</v>
      </c>
      <c r="M67" s="66">
        <f t="shared" si="22"/>
        <v>40954571.055467218</v>
      </c>
    </row>
    <row r="68" spans="2:187" ht="12.6" customHeight="1" x14ac:dyDescent="0.2">
      <c r="B68" s="116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3"/>
      <c r="AH68" s="123"/>
      <c r="AI68" s="123"/>
      <c r="AJ68" s="123"/>
      <c r="AK68" s="123"/>
      <c r="AL68" s="123"/>
      <c r="AM68" s="123"/>
      <c r="AN68" s="123"/>
      <c r="AO68" s="123"/>
      <c r="AP68" s="123"/>
      <c r="AQ68" s="123"/>
      <c r="AR68" s="123"/>
      <c r="AS68" s="123"/>
      <c r="AT68" s="123"/>
      <c r="AU68" s="123"/>
      <c r="AV68" s="123"/>
      <c r="AW68" s="123"/>
      <c r="AX68" s="123"/>
      <c r="AY68" s="123"/>
      <c r="AZ68" s="123"/>
      <c r="BA68" s="123"/>
      <c r="BB68" s="123"/>
      <c r="BC68" s="123"/>
      <c r="BD68" s="123"/>
      <c r="BE68" s="123"/>
      <c r="BF68" s="123"/>
      <c r="BG68" s="123"/>
      <c r="BH68" s="123"/>
      <c r="BI68" s="123"/>
      <c r="BJ68" s="123"/>
      <c r="BK68" s="123"/>
      <c r="BL68" s="123"/>
      <c r="BM68" s="123"/>
      <c r="BN68" s="123"/>
      <c r="BO68" s="123"/>
      <c r="BP68" s="123"/>
      <c r="BQ68" s="123"/>
      <c r="BR68" s="123"/>
      <c r="BS68" s="123"/>
      <c r="BT68" s="123"/>
      <c r="BU68" s="123"/>
      <c r="BV68" s="123"/>
      <c r="BW68" s="123"/>
      <c r="BX68" s="123"/>
      <c r="BY68" s="123"/>
      <c r="BZ68" s="123"/>
      <c r="CA68" s="123"/>
      <c r="CB68" s="123"/>
      <c r="CC68" s="123"/>
      <c r="CD68" s="123"/>
      <c r="CE68" s="123"/>
      <c r="CF68" s="123"/>
      <c r="CG68" s="123"/>
      <c r="CH68" s="123"/>
      <c r="CI68" s="123"/>
      <c r="CJ68" s="123"/>
      <c r="CK68" s="123"/>
      <c r="CL68" s="123"/>
    </row>
    <row r="69" spans="2:187" ht="12.6" customHeight="1" x14ac:dyDescent="0.2">
      <c r="B69" s="69" t="s">
        <v>127</v>
      </c>
      <c r="C69" s="42"/>
      <c r="D69" s="70">
        <f>XIRR(F67:M67,F8:M8)</f>
        <v>0.3225409448146821</v>
      </c>
    </row>
    <row r="70" spans="2:187" ht="12.6" customHeight="1" x14ac:dyDescent="0.2">
      <c r="B70" s="71" t="s">
        <v>118</v>
      </c>
      <c r="D70" s="72">
        <f>SUM(F67:M67)</f>
        <v>40259940.349065512</v>
      </c>
    </row>
    <row r="71" spans="2:187" ht="12.6" customHeight="1" x14ac:dyDescent="0.2">
      <c r="B71" s="73" t="s">
        <v>128</v>
      </c>
      <c r="C71" s="74"/>
      <c r="D71" s="75">
        <f>SUMIF(F67:M67,"&gt;"&amp;0) / -SUMIF(F67:M67,"&lt;"&amp;0)</f>
        <v>5.7253451113926657</v>
      </c>
    </row>
    <row r="72" spans="2:187" ht="12.6" customHeight="1" x14ac:dyDescent="0.2">
      <c r="B72" s="35"/>
      <c r="D72" s="90"/>
    </row>
    <row r="73" spans="2:187" ht="12.6" customHeight="1" x14ac:dyDescent="0.2">
      <c r="B73" s="76" t="s">
        <v>153</v>
      </c>
      <c r="C73" s="76"/>
      <c r="D73" s="76"/>
    </row>
    <row r="74" spans="2:187" ht="12.6" customHeight="1" x14ac:dyDescent="0.2">
      <c r="B74" s="116" t="s">
        <v>150</v>
      </c>
      <c r="D74" s="90"/>
      <c r="G74" s="123">
        <f>G30/SUM(-$F$43,$G$32)</f>
        <v>6.0685693366093363E-2</v>
      </c>
      <c r="H74" s="123">
        <f t="shared" ref="H74:M74" si="23">H30/SUM(-$F$43,$G$32)</f>
        <v>8.4706213491400464E-2</v>
      </c>
      <c r="I74" s="123">
        <f t="shared" si="23"/>
        <v>0.11605967515719903</v>
      </c>
      <c r="J74" s="123">
        <f t="shared" si="23"/>
        <v>0.12326696437690267</v>
      </c>
      <c r="K74" s="123">
        <f t="shared" si="23"/>
        <v>0.12699799542123186</v>
      </c>
      <c r="L74" s="123">
        <f t="shared" si="23"/>
        <v>0.13084272643865999</v>
      </c>
      <c r="M74" s="123">
        <f t="shared" si="23"/>
        <v>0.13478982641363801</v>
      </c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F74" s="123"/>
      <c r="AG74" s="123"/>
      <c r="AH74" s="123"/>
      <c r="AI74" s="123"/>
      <c r="AJ74" s="123"/>
      <c r="AK74" s="123"/>
      <c r="AL74" s="123"/>
      <c r="AM74" s="123"/>
      <c r="AN74" s="123"/>
      <c r="AO74" s="123"/>
      <c r="AP74" s="123"/>
      <c r="AQ74" s="123"/>
      <c r="AR74" s="123"/>
      <c r="AS74" s="123"/>
      <c r="AT74" s="123"/>
      <c r="AU74" s="123"/>
      <c r="AV74" s="123"/>
      <c r="AW74" s="123"/>
      <c r="AX74" s="123"/>
      <c r="AY74" s="123"/>
      <c r="AZ74" s="123"/>
      <c r="BA74" s="123"/>
      <c r="BB74" s="123"/>
      <c r="BC74" s="123"/>
      <c r="BD74" s="123"/>
      <c r="BE74" s="123"/>
      <c r="BF74" s="123"/>
      <c r="BG74" s="123"/>
      <c r="BH74" s="123"/>
      <c r="BI74" s="123"/>
      <c r="BJ74" s="123"/>
      <c r="BK74" s="123"/>
      <c r="BL74" s="123"/>
      <c r="BM74" s="123"/>
      <c r="BN74" s="123"/>
      <c r="BO74" s="123"/>
      <c r="BP74" s="123"/>
      <c r="BQ74" s="123"/>
      <c r="BR74" s="123"/>
      <c r="BS74" s="123"/>
      <c r="BT74" s="123"/>
      <c r="BU74" s="123"/>
      <c r="BV74" s="123"/>
      <c r="BW74" s="123"/>
      <c r="BX74" s="123"/>
      <c r="BY74" s="123"/>
      <c r="BZ74" s="123"/>
      <c r="CA74" s="123"/>
      <c r="CB74" s="123"/>
      <c r="CC74" s="123"/>
      <c r="CD74" s="123"/>
      <c r="CE74" s="123"/>
      <c r="CF74" s="123"/>
      <c r="CG74" s="123"/>
      <c r="CH74" s="123"/>
      <c r="CI74" s="123"/>
      <c r="CJ74" s="123"/>
      <c r="CK74" s="123"/>
      <c r="CL74" s="123"/>
    </row>
    <row r="75" spans="2:187" ht="12.6" customHeight="1" x14ac:dyDescent="0.2">
      <c r="B75" s="116" t="s">
        <v>151</v>
      </c>
      <c r="D75" s="90"/>
      <c r="G75" s="123">
        <f>G45/-$F$43</f>
        <v>5.8085973529411757E-2</v>
      </c>
      <c r="H75" s="123">
        <f t="shared" ref="H75:M75" si="24">H45/-$F$43</f>
        <v>8.4498600223039191E-2</v>
      </c>
      <c r="I75" s="123">
        <f t="shared" si="24"/>
        <v>0.11577521516906865</v>
      </c>
      <c r="J75" s="123">
        <f t="shared" si="24"/>
        <v>0.12296483946421419</v>
      </c>
      <c r="K75" s="123">
        <f t="shared" si="24"/>
        <v>0.12668672582461118</v>
      </c>
      <c r="L75" s="123">
        <f t="shared" si="24"/>
        <v>0.13052203348170249</v>
      </c>
      <c r="M75" s="123">
        <f t="shared" si="24"/>
        <v>2.6028463873669003</v>
      </c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  <c r="AC75" s="123"/>
      <c r="AD75" s="123"/>
      <c r="AE75" s="123"/>
      <c r="AF75" s="123"/>
      <c r="AG75" s="123"/>
      <c r="AH75" s="123"/>
      <c r="AI75" s="123"/>
      <c r="AJ75" s="123"/>
      <c r="AK75" s="123"/>
      <c r="AL75" s="123"/>
      <c r="AM75" s="123"/>
      <c r="AN75" s="123"/>
      <c r="AO75" s="123"/>
      <c r="AP75" s="123"/>
      <c r="AQ75" s="123"/>
      <c r="AR75" s="123"/>
      <c r="AS75" s="123"/>
      <c r="AT75" s="123"/>
      <c r="AU75" s="123"/>
      <c r="AV75" s="123"/>
      <c r="AW75" s="123"/>
      <c r="AX75" s="123"/>
      <c r="AY75" s="123"/>
      <c r="AZ75" s="123"/>
      <c r="BA75" s="123"/>
      <c r="BB75" s="123"/>
      <c r="BC75" s="123"/>
      <c r="BD75" s="123"/>
      <c r="BE75" s="123"/>
      <c r="BF75" s="123"/>
      <c r="BG75" s="123"/>
      <c r="BH75" s="123"/>
      <c r="BI75" s="123"/>
      <c r="BJ75" s="123"/>
      <c r="BK75" s="123"/>
      <c r="BL75" s="123"/>
      <c r="BM75" s="123"/>
      <c r="BN75" s="123"/>
      <c r="BO75" s="123"/>
      <c r="BP75" s="123"/>
      <c r="BQ75" s="123"/>
      <c r="BR75" s="123"/>
      <c r="BS75" s="123"/>
      <c r="BT75" s="123"/>
      <c r="BU75" s="123"/>
      <c r="BV75" s="123"/>
      <c r="BW75" s="123"/>
      <c r="BX75" s="123"/>
      <c r="BY75" s="123"/>
      <c r="BZ75" s="123"/>
      <c r="CA75" s="123"/>
      <c r="CB75" s="123"/>
      <c r="CC75" s="123"/>
      <c r="CD75" s="123"/>
      <c r="CE75" s="123"/>
      <c r="CF75" s="123"/>
      <c r="CG75" s="123"/>
      <c r="CH75" s="123"/>
      <c r="CI75" s="123"/>
      <c r="CJ75" s="123"/>
      <c r="CK75" s="123"/>
      <c r="CL75" s="123"/>
    </row>
    <row r="76" spans="2:187" ht="12.6" customHeight="1" x14ac:dyDescent="0.2">
      <c r="B76" s="116" t="s">
        <v>152</v>
      </c>
      <c r="D76" s="90"/>
      <c r="G76" s="123">
        <f t="shared" ref="G76:M76" si="25">G67/$D$81</f>
        <v>6.2109487730061329E-2</v>
      </c>
      <c r="H76" s="123">
        <f t="shared" si="25"/>
        <v>0.14475022155674838</v>
      </c>
      <c r="I76" s="123">
        <f t="shared" si="25"/>
        <v>0.222643625094959</v>
      </c>
      <c r="J76" s="123">
        <f t="shared" si="25"/>
        <v>0.24513876859510761</v>
      </c>
      <c r="K76" s="123">
        <f t="shared" si="25"/>
        <v>0.25678393450800624</v>
      </c>
      <c r="L76" s="123">
        <f t="shared" si="25"/>
        <v>0.2687839768706845</v>
      </c>
      <c r="M76" s="123">
        <f t="shared" si="25"/>
        <v>6.2813759287526407</v>
      </c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  <c r="AB76" s="123"/>
      <c r="AC76" s="123"/>
      <c r="AD76" s="123"/>
      <c r="AE76" s="123"/>
      <c r="AF76" s="123"/>
      <c r="AG76" s="123"/>
      <c r="AH76" s="123"/>
      <c r="AI76" s="123"/>
      <c r="AJ76" s="123"/>
      <c r="AK76" s="123"/>
      <c r="AL76" s="123"/>
      <c r="AM76" s="123"/>
      <c r="AN76" s="123"/>
      <c r="AO76" s="123"/>
      <c r="AP76" s="123"/>
      <c r="AQ76" s="123"/>
      <c r="AR76" s="123"/>
      <c r="AS76" s="123"/>
      <c r="AT76" s="123"/>
      <c r="AU76" s="123"/>
      <c r="AV76" s="123"/>
      <c r="AW76" s="123"/>
      <c r="AX76" s="123"/>
      <c r="AY76" s="123"/>
      <c r="AZ76" s="123"/>
      <c r="BA76" s="123"/>
      <c r="BB76" s="123"/>
      <c r="BC76" s="123"/>
      <c r="BD76" s="123"/>
      <c r="BE76" s="123"/>
      <c r="BF76" s="123"/>
      <c r="BG76" s="123"/>
      <c r="BH76" s="123"/>
      <c r="BI76" s="123"/>
      <c r="BJ76" s="123"/>
      <c r="BK76" s="123"/>
      <c r="BL76" s="123"/>
      <c r="BM76" s="123"/>
      <c r="BN76" s="123"/>
      <c r="BO76" s="123"/>
      <c r="BP76" s="123"/>
      <c r="BQ76" s="123"/>
      <c r="BR76" s="123"/>
      <c r="BS76" s="123"/>
      <c r="BT76" s="123"/>
      <c r="BU76" s="123"/>
      <c r="BV76" s="123"/>
      <c r="BW76" s="123"/>
      <c r="BX76" s="123"/>
      <c r="BY76" s="123"/>
      <c r="BZ76" s="123"/>
      <c r="CA76" s="123"/>
      <c r="CB76" s="123"/>
      <c r="CC76" s="123"/>
      <c r="CD76" s="123"/>
      <c r="CE76" s="123"/>
      <c r="CF76" s="123"/>
      <c r="CG76" s="123"/>
      <c r="CH76" s="123"/>
      <c r="CI76" s="123"/>
      <c r="CJ76" s="123"/>
      <c r="CK76" s="123"/>
      <c r="CL76" s="123"/>
    </row>
    <row r="77" spans="2:187" ht="12.6" customHeight="1" x14ac:dyDescent="0.2">
      <c r="B77" s="116"/>
      <c r="D77" s="90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  <c r="AC77" s="123"/>
      <c r="AD77" s="123"/>
      <c r="AE77" s="123"/>
      <c r="AF77" s="123"/>
      <c r="AG77" s="123"/>
      <c r="AH77" s="123"/>
      <c r="AI77" s="123"/>
      <c r="AJ77" s="123"/>
      <c r="AK77" s="123"/>
      <c r="AL77" s="123"/>
      <c r="AM77" s="123"/>
      <c r="AN77" s="123"/>
      <c r="AO77" s="123"/>
      <c r="AP77" s="123"/>
      <c r="AQ77" s="123"/>
      <c r="AR77" s="123"/>
      <c r="AS77" s="123"/>
      <c r="AT77" s="123"/>
      <c r="AU77" s="123"/>
      <c r="AV77" s="123"/>
      <c r="AW77" s="123"/>
      <c r="AX77" s="123"/>
      <c r="AY77" s="123"/>
      <c r="AZ77" s="123"/>
      <c r="BA77" s="123"/>
      <c r="BB77" s="123"/>
      <c r="BC77" s="123"/>
      <c r="BD77" s="123"/>
      <c r="BE77" s="123"/>
      <c r="BF77" s="123"/>
      <c r="BG77" s="123"/>
      <c r="BH77" s="123"/>
      <c r="BI77" s="123"/>
      <c r="BJ77" s="123"/>
      <c r="BK77" s="123"/>
      <c r="BL77" s="123"/>
      <c r="BM77" s="123"/>
      <c r="BN77" s="123"/>
      <c r="BO77" s="123"/>
      <c r="BP77" s="123"/>
      <c r="BQ77" s="123"/>
      <c r="BR77" s="123"/>
      <c r="BS77" s="123"/>
      <c r="BT77" s="123"/>
      <c r="BU77" s="123"/>
      <c r="BV77" s="123"/>
      <c r="BW77" s="123"/>
      <c r="BX77" s="123"/>
      <c r="BY77" s="123"/>
      <c r="BZ77" s="123"/>
      <c r="CA77" s="123"/>
      <c r="CB77" s="123"/>
      <c r="CC77" s="123"/>
      <c r="CD77" s="123"/>
      <c r="CE77" s="123"/>
      <c r="CF77" s="123"/>
      <c r="CG77" s="123"/>
      <c r="CH77" s="123"/>
      <c r="CI77" s="123"/>
      <c r="CJ77" s="123"/>
      <c r="CK77" s="123"/>
      <c r="CL77" s="123"/>
    </row>
    <row r="78" spans="2:187" ht="12.6" customHeight="1" x14ac:dyDescent="0.2">
      <c r="B78" s="76" t="s">
        <v>158</v>
      </c>
      <c r="C78" s="78"/>
      <c r="D78" s="174"/>
    </row>
    <row r="79" spans="2:187" ht="12.6" customHeight="1" x14ac:dyDescent="0.2">
      <c r="B79" s="35" t="s">
        <v>148</v>
      </c>
      <c r="D79" s="120">
        <f>Assumptions!$H$35</f>
        <v>2000000</v>
      </c>
      <c r="F79" s="57">
        <f>Assumptions!$H$35</f>
        <v>2000000</v>
      </c>
    </row>
    <row r="80" spans="2:187" ht="12.6" customHeight="1" x14ac:dyDescent="0.2">
      <c r="B80" s="35" t="s">
        <v>59</v>
      </c>
      <c r="D80" s="121">
        <f>Assumptions!$H$36</f>
        <v>0.09</v>
      </c>
      <c r="F80" s="57"/>
      <c r="G80" s="57">
        <f t="shared" ref="G80:M80" si="26">$F$79*$D$80</f>
        <v>180000</v>
      </c>
      <c r="H80" s="57">
        <f t="shared" si="26"/>
        <v>180000</v>
      </c>
      <c r="I80" s="57">
        <f t="shared" si="26"/>
        <v>180000</v>
      </c>
      <c r="J80" s="57">
        <f t="shared" si="26"/>
        <v>180000</v>
      </c>
      <c r="K80" s="57">
        <f t="shared" si="26"/>
        <v>180000</v>
      </c>
      <c r="L80" s="57">
        <f t="shared" si="26"/>
        <v>180000</v>
      </c>
      <c r="M80" s="57">
        <f t="shared" si="26"/>
        <v>180000</v>
      </c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  <c r="BM80" s="57"/>
      <c r="BN80" s="57"/>
      <c r="BO80" s="57"/>
      <c r="BP80" s="57"/>
      <c r="BQ80" s="57"/>
      <c r="BR80" s="57"/>
      <c r="BS80" s="57"/>
      <c r="BT80" s="57"/>
      <c r="BU80" s="57"/>
      <c r="BV80" s="57"/>
      <c r="BW80" s="57"/>
      <c r="BX80" s="57"/>
      <c r="BY80" s="57"/>
      <c r="BZ80" s="57"/>
      <c r="CA80" s="57"/>
      <c r="CB80" s="57"/>
      <c r="CC80" s="57"/>
      <c r="CD80" s="57"/>
      <c r="CE80" s="57"/>
      <c r="CF80" s="57"/>
      <c r="CG80" s="57"/>
      <c r="CH80" s="57"/>
      <c r="CI80" s="57"/>
      <c r="CJ80" s="57"/>
      <c r="CK80" s="57"/>
      <c r="CL80" s="57"/>
      <c r="CM80" s="57"/>
      <c r="CN80" s="57"/>
      <c r="CO80" s="57"/>
      <c r="CP80" s="57"/>
      <c r="CQ80" s="57"/>
      <c r="CR80" s="57"/>
      <c r="CS80" s="57"/>
      <c r="CT80" s="57"/>
      <c r="CU80" s="57"/>
      <c r="CV80" s="57"/>
      <c r="CW80" s="57"/>
      <c r="CX80" s="57"/>
      <c r="CY80" s="57"/>
      <c r="CZ80" s="57"/>
      <c r="DA80" s="57"/>
      <c r="DB80" s="57"/>
      <c r="DC80" s="57"/>
      <c r="DD80" s="57"/>
      <c r="DE80" s="57"/>
      <c r="DF80" s="57"/>
      <c r="DG80" s="57"/>
      <c r="DH80" s="57"/>
      <c r="DI80" s="57"/>
      <c r="DJ80" s="57"/>
      <c r="DK80" s="57"/>
      <c r="DL80" s="57"/>
      <c r="DM80" s="57"/>
      <c r="DN80" s="57"/>
      <c r="DO80" s="57"/>
      <c r="DP80" s="57"/>
      <c r="DQ80" s="57"/>
      <c r="DR80" s="57"/>
      <c r="DS80" s="57"/>
      <c r="DT80" s="57"/>
      <c r="DU80" s="57"/>
      <c r="DV80" s="57"/>
      <c r="DW80" s="57"/>
      <c r="DX80" s="57"/>
      <c r="DY80" s="57"/>
      <c r="DZ80" s="57"/>
      <c r="EA80" s="57"/>
      <c r="EB80" s="57"/>
      <c r="EC80" s="57"/>
      <c r="ED80" s="57"/>
      <c r="EE80" s="57"/>
      <c r="EF80" s="57"/>
      <c r="EG80" s="57"/>
      <c r="EH80" s="57"/>
      <c r="EI80" s="57"/>
      <c r="EJ80" s="57"/>
      <c r="EK80" s="57"/>
      <c r="EL80" s="57"/>
      <c r="EM80" s="57"/>
      <c r="EN80" s="57"/>
      <c r="EO80" s="57"/>
      <c r="EP80" s="57"/>
      <c r="EQ80" s="57"/>
      <c r="ER80" s="57"/>
      <c r="ES80" s="57"/>
      <c r="ET80" s="57"/>
      <c r="EU80" s="57"/>
      <c r="EV80" s="57"/>
      <c r="EW80" s="57"/>
      <c r="EX80" s="57"/>
      <c r="EY80" s="57"/>
      <c r="EZ80" s="57"/>
      <c r="FA80" s="57"/>
      <c r="FB80" s="57"/>
      <c r="FC80" s="57"/>
      <c r="FD80" s="57"/>
      <c r="FE80" s="57"/>
      <c r="FF80" s="57"/>
      <c r="FG80" s="57"/>
      <c r="FH80" s="57"/>
      <c r="FI80" s="57"/>
      <c r="FJ80" s="57"/>
      <c r="FK80" s="57"/>
      <c r="FL80" s="57"/>
      <c r="FM80" s="57"/>
      <c r="FN80" s="57"/>
      <c r="FO80" s="57"/>
      <c r="FP80" s="57"/>
      <c r="FQ80" s="57"/>
      <c r="FR80" s="57"/>
      <c r="FS80" s="57"/>
      <c r="FT80" s="57"/>
      <c r="FU80" s="57"/>
      <c r="FV80" s="57"/>
      <c r="FW80" s="57"/>
      <c r="FX80" s="57"/>
      <c r="FY80" s="57"/>
      <c r="FZ80" s="57"/>
      <c r="GA80" s="57"/>
      <c r="GB80" s="57"/>
      <c r="GC80" s="57"/>
      <c r="GD80" s="57"/>
      <c r="GE80" s="57"/>
    </row>
    <row r="81" spans="2:187" ht="12.6" customHeight="1" x14ac:dyDescent="0.2">
      <c r="B81" s="35" t="s">
        <v>147</v>
      </c>
      <c r="D81" s="57">
        <f>-F67-D79</f>
        <v>6520000</v>
      </c>
      <c r="F81" s="57">
        <f>-F67-F79</f>
        <v>6520000</v>
      </c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  <c r="BM81" s="57"/>
      <c r="BN81" s="57"/>
      <c r="BO81" s="57"/>
      <c r="BP81" s="57"/>
      <c r="BQ81" s="57"/>
      <c r="BR81" s="57"/>
      <c r="BS81" s="57"/>
      <c r="BT81" s="57"/>
      <c r="BU81" s="57"/>
      <c r="BV81" s="57"/>
      <c r="BW81" s="57"/>
      <c r="BX81" s="57"/>
      <c r="BY81" s="57"/>
      <c r="BZ81" s="57"/>
      <c r="CA81" s="57"/>
      <c r="CB81" s="57"/>
      <c r="CC81" s="57"/>
      <c r="CD81" s="57"/>
      <c r="CE81" s="57"/>
      <c r="CF81" s="57"/>
      <c r="CG81" s="57"/>
      <c r="CH81" s="57"/>
      <c r="CI81" s="57"/>
      <c r="CJ81" s="57"/>
      <c r="CK81" s="57"/>
      <c r="CL81" s="57"/>
      <c r="CM81" s="57"/>
      <c r="CN81" s="57"/>
      <c r="CO81" s="57"/>
      <c r="CP81" s="57"/>
      <c r="CQ81" s="57"/>
      <c r="CR81" s="57"/>
      <c r="CS81" s="57"/>
      <c r="CT81" s="57"/>
      <c r="CU81" s="57"/>
      <c r="CV81" s="57"/>
      <c r="CW81" s="57"/>
      <c r="CX81" s="57"/>
      <c r="CY81" s="57"/>
      <c r="CZ81" s="57"/>
      <c r="DA81" s="57"/>
      <c r="DB81" s="57"/>
      <c r="DC81" s="57"/>
      <c r="DD81" s="57"/>
      <c r="DE81" s="57"/>
      <c r="DF81" s="57"/>
      <c r="DG81" s="57"/>
      <c r="DH81" s="57"/>
      <c r="DI81" s="57"/>
      <c r="DJ81" s="57"/>
      <c r="DK81" s="57"/>
      <c r="DL81" s="57"/>
      <c r="DM81" s="57"/>
      <c r="DN81" s="57"/>
      <c r="DO81" s="57"/>
      <c r="DP81" s="57"/>
      <c r="DQ81" s="57"/>
      <c r="DR81" s="57"/>
      <c r="DS81" s="57"/>
      <c r="DT81" s="57"/>
      <c r="DU81" s="57"/>
      <c r="DV81" s="57"/>
      <c r="DW81" s="57"/>
      <c r="DX81" s="57"/>
      <c r="DY81" s="57"/>
      <c r="DZ81" s="57"/>
      <c r="EA81" s="57"/>
      <c r="EB81" s="57"/>
      <c r="EC81" s="57"/>
      <c r="ED81" s="57"/>
      <c r="EE81" s="57"/>
      <c r="EF81" s="57"/>
      <c r="EG81" s="57"/>
      <c r="EH81" s="57"/>
      <c r="EI81" s="57"/>
      <c r="EJ81" s="57"/>
      <c r="EK81" s="57"/>
      <c r="EL81" s="57"/>
      <c r="EM81" s="57"/>
      <c r="EN81" s="57"/>
      <c r="EO81" s="57"/>
      <c r="EP81" s="57"/>
      <c r="EQ81" s="57"/>
      <c r="ER81" s="57"/>
      <c r="ES81" s="57"/>
      <c r="ET81" s="57"/>
      <c r="EU81" s="57"/>
      <c r="EV81" s="57"/>
      <c r="EW81" s="57"/>
      <c r="EX81" s="57"/>
      <c r="EY81" s="57"/>
      <c r="EZ81" s="57"/>
      <c r="FA81" s="57"/>
      <c r="FB81" s="57"/>
      <c r="FC81" s="57"/>
      <c r="FD81" s="57"/>
      <c r="FE81" s="57"/>
      <c r="FF81" s="57"/>
      <c r="FG81" s="57"/>
      <c r="FH81" s="57"/>
      <c r="FI81" s="57"/>
      <c r="FJ81" s="57"/>
      <c r="FK81" s="57"/>
      <c r="FL81" s="57"/>
      <c r="FM81" s="57"/>
      <c r="FN81" s="57"/>
      <c r="FO81" s="57"/>
      <c r="FP81" s="57"/>
      <c r="FQ81" s="57"/>
      <c r="FR81" s="57"/>
      <c r="FS81" s="57"/>
      <c r="FT81" s="57"/>
      <c r="FU81" s="57"/>
      <c r="FV81" s="57"/>
      <c r="FW81" s="57"/>
      <c r="FX81" s="57"/>
      <c r="FY81" s="57"/>
      <c r="FZ81" s="57"/>
      <c r="GA81" s="57"/>
      <c r="GB81" s="57"/>
      <c r="GC81" s="57"/>
      <c r="GD81" s="57"/>
      <c r="GE81" s="57"/>
    </row>
    <row r="82" spans="2:187" ht="12.6" customHeight="1" x14ac:dyDescent="0.2">
      <c r="B82" s="35" t="s">
        <v>149</v>
      </c>
      <c r="D82" s="126">
        <v>0.01</v>
      </c>
      <c r="F82" s="57"/>
      <c r="G82" s="57">
        <f>$F$81*$D$82</f>
        <v>65200</v>
      </c>
      <c r="H82" s="57">
        <f t="shared" ref="H82:M82" si="27">$F$81*$D$82</f>
        <v>65200</v>
      </c>
      <c r="I82" s="57">
        <f t="shared" si="27"/>
        <v>65200</v>
      </c>
      <c r="J82" s="57">
        <f t="shared" si="27"/>
        <v>65200</v>
      </c>
      <c r="K82" s="57">
        <f t="shared" si="27"/>
        <v>65200</v>
      </c>
      <c r="L82" s="57">
        <f t="shared" si="27"/>
        <v>65200</v>
      </c>
      <c r="M82" s="57">
        <f t="shared" si="27"/>
        <v>65200</v>
      </c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7"/>
      <c r="BS82" s="57"/>
      <c r="BT82" s="57"/>
      <c r="BU82" s="57"/>
      <c r="BV82" s="57"/>
      <c r="BW82" s="57"/>
      <c r="BX82" s="57"/>
      <c r="BY82" s="57"/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7"/>
      <c r="CO82" s="57"/>
      <c r="CP82" s="57"/>
      <c r="CQ82" s="57"/>
      <c r="CR82" s="57"/>
      <c r="CS82" s="57"/>
      <c r="CT82" s="57"/>
      <c r="CU82" s="57"/>
      <c r="CV82" s="57"/>
      <c r="CW82" s="57"/>
      <c r="CX82" s="57"/>
      <c r="CY82" s="57"/>
      <c r="CZ82" s="57"/>
      <c r="DA82" s="57"/>
      <c r="DB82" s="57"/>
      <c r="DC82" s="57"/>
      <c r="DD82" s="57"/>
      <c r="DE82" s="57"/>
      <c r="DF82" s="57"/>
      <c r="DG82" s="57"/>
      <c r="DH82" s="57"/>
      <c r="DI82" s="57"/>
      <c r="DJ82" s="57"/>
      <c r="DK82" s="57"/>
      <c r="DL82" s="57"/>
      <c r="DM82" s="57"/>
      <c r="DN82" s="57"/>
      <c r="DO82" s="57"/>
      <c r="DP82" s="57"/>
      <c r="DQ82" s="57"/>
      <c r="DR82" s="57"/>
      <c r="DS82" s="57"/>
      <c r="DT82" s="57"/>
      <c r="DU82" s="57"/>
      <c r="DV82" s="57"/>
      <c r="DW82" s="57"/>
      <c r="DX82" s="57"/>
      <c r="DY82" s="57"/>
      <c r="DZ82" s="57"/>
      <c r="EA82" s="57"/>
      <c r="EB82" s="57"/>
      <c r="EC82" s="57"/>
      <c r="ED82" s="57"/>
      <c r="EE82" s="57"/>
      <c r="EF82" s="57"/>
      <c r="EG82" s="57"/>
      <c r="EH82" s="57"/>
      <c r="EI82" s="57"/>
      <c r="EJ82" s="57"/>
      <c r="EK82" s="57"/>
      <c r="EL82" s="57"/>
      <c r="EM82" s="57"/>
      <c r="EN82" s="57"/>
      <c r="EO82" s="57"/>
      <c r="EP82" s="57"/>
      <c r="EQ82" s="57"/>
      <c r="ER82" s="57"/>
      <c r="ES82" s="57"/>
      <c r="ET82" s="57"/>
      <c r="EU82" s="57"/>
      <c r="EV82" s="57"/>
      <c r="EW82" s="57"/>
      <c r="EX82" s="57"/>
      <c r="EY82" s="57"/>
      <c r="EZ82" s="57"/>
      <c r="FA82" s="57"/>
      <c r="FB82" s="57"/>
      <c r="FC82" s="57"/>
      <c r="FD82" s="57"/>
      <c r="FE82" s="57"/>
      <c r="FF82" s="57"/>
      <c r="FG82" s="57"/>
      <c r="FH82" s="57"/>
      <c r="FI82" s="57"/>
      <c r="FJ82" s="57"/>
      <c r="FK82" s="57"/>
      <c r="FL82" s="57"/>
      <c r="FM82" s="57"/>
      <c r="FN82" s="57"/>
      <c r="FO82" s="57"/>
      <c r="FP82" s="57"/>
      <c r="FQ82" s="57"/>
      <c r="FR82" s="57"/>
      <c r="FS82" s="57"/>
      <c r="FT82" s="57"/>
      <c r="FU82" s="57"/>
      <c r="FV82" s="57"/>
      <c r="FW82" s="57"/>
      <c r="FX82" s="57"/>
      <c r="FY82" s="57"/>
      <c r="FZ82" s="57"/>
      <c r="GA82" s="57"/>
      <c r="GB82" s="57"/>
      <c r="GC82" s="57"/>
      <c r="GD82" s="57"/>
      <c r="GE82" s="57"/>
    </row>
    <row r="83" spans="2:187" ht="12.6" customHeight="1" x14ac:dyDescent="0.2">
      <c r="B83" s="65" t="s">
        <v>146</v>
      </c>
      <c r="C83" s="62"/>
      <c r="D83" s="62"/>
      <c r="E83" s="42"/>
      <c r="F83" s="66">
        <f t="shared" ref="F83:M83" si="28">F67-F80-F82</f>
        <v>-8520000</v>
      </c>
      <c r="G83" s="66">
        <f t="shared" si="28"/>
        <v>159753.85999999987</v>
      </c>
      <c r="H83" s="66">
        <f t="shared" si="28"/>
        <v>698571.44454999943</v>
      </c>
      <c r="I83" s="66">
        <f t="shared" si="28"/>
        <v>1206436.4356191326</v>
      </c>
      <c r="J83" s="66">
        <f t="shared" si="28"/>
        <v>1353104.7712401017</v>
      </c>
      <c r="K83" s="66">
        <f t="shared" si="28"/>
        <v>1429031.2529922007</v>
      </c>
      <c r="L83" s="66">
        <f t="shared" si="28"/>
        <v>1507271.5291968631</v>
      </c>
      <c r="M83" s="66">
        <f t="shared" si="28"/>
        <v>40709371.055467218</v>
      </c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  <c r="BU83" s="57"/>
      <c r="BV83" s="57"/>
      <c r="BW83" s="57"/>
      <c r="BX83" s="57"/>
      <c r="BY83" s="57"/>
      <c r="BZ83" s="57"/>
      <c r="CA83" s="57"/>
      <c r="CB83" s="57"/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7"/>
      <c r="CS83" s="57"/>
      <c r="CT83" s="57"/>
      <c r="CU83" s="57"/>
      <c r="CV83" s="57"/>
      <c r="CW83" s="57"/>
      <c r="CX83" s="57"/>
      <c r="CY83" s="57"/>
      <c r="CZ83" s="57"/>
      <c r="DA83" s="57"/>
      <c r="DB83" s="57"/>
      <c r="DC83" s="57"/>
      <c r="DD83" s="57"/>
      <c r="DE83" s="57"/>
      <c r="DF83" s="57"/>
      <c r="DG83" s="57"/>
      <c r="DH83" s="57"/>
      <c r="DI83" s="57"/>
      <c r="DJ83" s="57"/>
      <c r="DK83" s="57"/>
      <c r="DL83" s="57"/>
      <c r="DM83" s="57"/>
      <c r="DN83" s="57"/>
      <c r="DO83" s="57"/>
      <c r="DP83" s="57"/>
      <c r="DQ83" s="57"/>
      <c r="DR83" s="57"/>
      <c r="DS83" s="57"/>
      <c r="DT83" s="57"/>
      <c r="DU83" s="57"/>
      <c r="DV83" s="57"/>
      <c r="DW83" s="57"/>
      <c r="DX83" s="57"/>
      <c r="DY83" s="57"/>
      <c r="DZ83" s="57"/>
      <c r="EA83" s="57"/>
      <c r="EB83" s="57"/>
      <c r="EC83" s="57"/>
      <c r="ED83" s="57"/>
      <c r="EE83" s="57"/>
      <c r="EF83" s="57"/>
      <c r="EG83" s="57"/>
      <c r="EH83" s="57"/>
      <c r="EI83" s="57"/>
      <c r="EJ83" s="57"/>
      <c r="EK83" s="57"/>
      <c r="EL83" s="57"/>
      <c r="EM83" s="57"/>
      <c r="EN83" s="57"/>
      <c r="EO83" s="57"/>
      <c r="EP83" s="57"/>
      <c r="EQ83" s="57"/>
      <c r="ER83" s="57"/>
      <c r="ES83" s="57"/>
      <c r="ET83" s="57"/>
      <c r="EU83" s="57"/>
      <c r="EV83" s="57"/>
      <c r="EW83" s="57"/>
      <c r="EX83" s="57"/>
      <c r="EY83" s="57"/>
      <c r="EZ83" s="57"/>
      <c r="FA83" s="57"/>
      <c r="FB83" s="57"/>
      <c r="FC83" s="57"/>
      <c r="FD83" s="57"/>
      <c r="FE83" s="57"/>
      <c r="FF83" s="57"/>
      <c r="FG83" s="57"/>
      <c r="FH83" s="57"/>
      <c r="FI83" s="57"/>
      <c r="FJ83" s="57"/>
      <c r="FK83" s="57"/>
      <c r="FL83" s="57"/>
      <c r="FM83" s="57"/>
      <c r="FN83" s="57"/>
      <c r="FO83" s="57"/>
      <c r="FP83" s="57"/>
      <c r="FQ83" s="57"/>
      <c r="FR83" s="57"/>
      <c r="FS83" s="57"/>
      <c r="FT83" s="57"/>
      <c r="FU83" s="57"/>
      <c r="FV83" s="57"/>
      <c r="FW83" s="57"/>
      <c r="FX83" s="57"/>
      <c r="FY83" s="57"/>
      <c r="FZ83" s="57"/>
      <c r="GA83" s="57"/>
      <c r="GB83" s="57"/>
      <c r="GC83" s="57"/>
      <c r="GD83" s="57"/>
      <c r="GE83" s="57"/>
    </row>
    <row r="84" spans="2:187" ht="12.6" customHeight="1" x14ac:dyDescent="0.2">
      <c r="B84" s="35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57"/>
      <c r="BS84" s="57"/>
      <c r="BT84" s="57"/>
      <c r="BU84" s="57"/>
      <c r="BV84" s="57"/>
      <c r="BW84" s="57"/>
      <c r="BX84" s="57"/>
      <c r="BY84" s="57"/>
      <c r="BZ84" s="57"/>
      <c r="CA84" s="57"/>
      <c r="CB84" s="57"/>
      <c r="CC84" s="57"/>
      <c r="CD84" s="57"/>
      <c r="CE84" s="57"/>
      <c r="CF84" s="57"/>
      <c r="CG84" s="57"/>
      <c r="CH84" s="57"/>
      <c r="CI84" s="57"/>
      <c r="DC84" s="57"/>
      <c r="DD84" s="57"/>
      <c r="DE84" s="57"/>
      <c r="DF84" s="57"/>
      <c r="DG84" s="57"/>
      <c r="DH84" s="57"/>
      <c r="DI84" s="57"/>
      <c r="DJ84" s="57"/>
      <c r="DK84" s="57"/>
      <c r="DL84" s="57"/>
      <c r="DM84" s="57"/>
      <c r="DN84" s="57"/>
      <c r="DO84" s="57"/>
      <c r="DP84" s="57"/>
      <c r="DQ84" s="57"/>
      <c r="DR84" s="57"/>
      <c r="DS84" s="57"/>
      <c r="DT84" s="57"/>
      <c r="DU84" s="57"/>
      <c r="DV84" s="57"/>
      <c r="DW84" s="57"/>
      <c r="DX84" s="57"/>
      <c r="DY84" s="57"/>
      <c r="DZ84" s="57"/>
      <c r="EA84" s="57"/>
      <c r="EB84" s="57"/>
      <c r="EC84" s="57"/>
      <c r="ED84" s="57"/>
      <c r="EE84" s="57"/>
      <c r="EF84" s="57"/>
      <c r="EG84" s="57"/>
      <c r="EH84" s="57"/>
      <c r="EI84" s="57"/>
      <c r="EJ84" s="57"/>
      <c r="EK84" s="57"/>
      <c r="EL84" s="57"/>
      <c r="EM84" s="57"/>
      <c r="EN84" s="57"/>
      <c r="EO84" s="57"/>
      <c r="EP84" s="57"/>
      <c r="EQ84" s="57"/>
      <c r="ER84" s="57"/>
      <c r="ES84" s="57"/>
      <c r="ET84" s="57"/>
      <c r="EU84" s="57"/>
      <c r="EV84" s="57"/>
      <c r="EW84" s="57"/>
      <c r="EX84" s="57"/>
      <c r="EY84" s="57"/>
      <c r="EZ84" s="57"/>
      <c r="FA84" s="57"/>
      <c r="FB84" s="57"/>
      <c r="FC84" s="57"/>
      <c r="FD84" s="57"/>
      <c r="FE84" s="57"/>
      <c r="FF84" s="57"/>
      <c r="FG84" s="57"/>
      <c r="FH84" s="57"/>
      <c r="FI84" s="57"/>
      <c r="FJ84" s="57"/>
      <c r="FK84" s="57"/>
      <c r="FL84" s="57"/>
      <c r="FM84" s="57"/>
      <c r="FN84" s="57"/>
      <c r="FO84" s="57"/>
      <c r="FP84" s="57"/>
      <c r="FQ84" s="57"/>
      <c r="FR84" s="57"/>
      <c r="FS84" s="57"/>
      <c r="FT84" s="57"/>
      <c r="FU84" s="57"/>
      <c r="FV84" s="57"/>
      <c r="FW84" s="57"/>
      <c r="FX84" s="57"/>
      <c r="FY84" s="57"/>
      <c r="FZ84" s="57"/>
      <c r="GA84" s="57"/>
      <c r="GB84" s="57"/>
      <c r="GC84" s="57"/>
      <c r="GD84" s="57"/>
      <c r="GE84" s="57"/>
    </row>
    <row r="85" spans="2:187" ht="12.6" customHeight="1" x14ac:dyDescent="0.2">
      <c r="B85" s="69" t="s">
        <v>161</v>
      </c>
      <c r="C85" s="42"/>
      <c r="D85" s="70">
        <f>XIRR(F83:M83,F8:M8)</f>
        <v>0.3054040729999542</v>
      </c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/>
      <c r="BR85" s="57"/>
      <c r="BS85" s="57"/>
      <c r="BT85" s="57"/>
      <c r="BU85" s="57"/>
      <c r="BV85" s="57"/>
      <c r="BW85" s="57"/>
      <c r="BX85" s="57"/>
      <c r="BY85" s="57"/>
      <c r="BZ85" s="57"/>
      <c r="CA85" s="57"/>
      <c r="CB85" s="57"/>
      <c r="CC85" s="57"/>
      <c r="CD85" s="57"/>
      <c r="CE85" s="57"/>
      <c r="CF85" s="57"/>
      <c r="CG85" s="57"/>
      <c r="CH85" s="57"/>
      <c r="CI85" s="57"/>
      <c r="DC85" s="57"/>
      <c r="DD85" s="57"/>
      <c r="DE85" s="57"/>
      <c r="DF85" s="57"/>
      <c r="DG85" s="57"/>
      <c r="DH85" s="57"/>
      <c r="DI85" s="57"/>
      <c r="DJ85" s="57"/>
      <c r="DK85" s="57"/>
      <c r="DL85" s="57"/>
      <c r="DM85" s="57"/>
      <c r="DN85" s="57"/>
      <c r="DO85" s="57"/>
      <c r="DP85" s="57"/>
      <c r="DQ85" s="57"/>
      <c r="DR85" s="57"/>
      <c r="DS85" s="57"/>
      <c r="DT85" s="57"/>
      <c r="DU85" s="57"/>
      <c r="DV85" s="57"/>
      <c r="DW85" s="57"/>
      <c r="DX85" s="57"/>
      <c r="DY85" s="57"/>
      <c r="DZ85" s="57"/>
      <c r="EA85" s="57"/>
      <c r="EB85" s="57"/>
      <c r="EC85" s="57"/>
      <c r="ED85" s="57"/>
      <c r="EE85" s="57"/>
      <c r="EF85" s="57"/>
      <c r="EG85" s="57"/>
      <c r="EH85" s="57"/>
      <c r="EI85" s="57"/>
      <c r="EJ85" s="57"/>
      <c r="EK85" s="57"/>
      <c r="EL85" s="57"/>
      <c r="EM85" s="57"/>
      <c r="EN85" s="57"/>
      <c r="EO85" s="57"/>
      <c r="EP85" s="57"/>
      <c r="EQ85" s="57"/>
      <c r="ER85" s="57"/>
      <c r="ES85" s="57"/>
      <c r="ET85" s="57"/>
      <c r="EU85" s="57"/>
      <c r="EV85" s="57"/>
      <c r="EW85" s="57"/>
      <c r="EX85" s="57"/>
      <c r="EY85" s="57"/>
      <c r="EZ85" s="57"/>
      <c r="FA85" s="57"/>
      <c r="FB85" s="57"/>
      <c r="FC85" s="57"/>
      <c r="FD85" s="57"/>
      <c r="FE85" s="57"/>
      <c r="FF85" s="57"/>
      <c r="FG85" s="57"/>
      <c r="FH85" s="57"/>
      <c r="FI85" s="57"/>
      <c r="FJ85" s="57"/>
      <c r="FK85" s="57"/>
      <c r="FL85" s="57"/>
      <c r="FM85" s="57"/>
      <c r="FN85" s="57"/>
      <c r="FO85" s="57"/>
      <c r="FP85" s="57"/>
      <c r="FQ85" s="57"/>
      <c r="FR85" s="57"/>
      <c r="FS85" s="57"/>
      <c r="FT85" s="57"/>
      <c r="FU85" s="57"/>
      <c r="FV85" s="57"/>
      <c r="FW85" s="57"/>
      <c r="FX85" s="57"/>
      <c r="FY85" s="57"/>
      <c r="FZ85" s="57"/>
      <c r="GA85" s="57"/>
      <c r="GB85" s="57"/>
      <c r="GC85" s="57"/>
      <c r="GD85" s="57"/>
      <c r="GE85" s="57"/>
    </row>
    <row r="86" spans="2:187" ht="12.6" customHeight="1" x14ac:dyDescent="0.2">
      <c r="B86" s="71" t="s">
        <v>118</v>
      </c>
      <c r="D86" s="72">
        <f>SUM(F83:CL83)</f>
        <v>38543540.349065512</v>
      </c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/>
      <c r="BR86" s="57"/>
      <c r="BS86" s="57"/>
      <c r="BT86" s="57"/>
      <c r="BU86" s="57"/>
      <c r="BV86" s="57"/>
      <c r="BW86" s="57"/>
      <c r="BX86" s="57"/>
      <c r="BY86" s="57"/>
      <c r="BZ86" s="57"/>
      <c r="CA86" s="57"/>
      <c r="CB86" s="57"/>
      <c r="CC86" s="57"/>
      <c r="CD86" s="57"/>
      <c r="CE86" s="57"/>
      <c r="CF86" s="57"/>
      <c r="CG86" s="57"/>
      <c r="CH86" s="57"/>
      <c r="CI86" s="57"/>
      <c r="DC86" s="57"/>
      <c r="DD86" s="57"/>
      <c r="DE86" s="57"/>
      <c r="DF86" s="57"/>
      <c r="DG86" s="57"/>
      <c r="DH86" s="57"/>
      <c r="DI86" s="57"/>
      <c r="DJ86" s="57"/>
      <c r="DK86" s="57"/>
      <c r="DL86" s="57"/>
      <c r="DM86" s="57"/>
      <c r="DN86" s="57"/>
      <c r="DO86" s="57"/>
      <c r="DP86" s="57"/>
      <c r="DQ86" s="57"/>
      <c r="DR86" s="57"/>
      <c r="DS86" s="57"/>
      <c r="DT86" s="57"/>
      <c r="DU86" s="57"/>
      <c r="DV86" s="57"/>
      <c r="DW86" s="57"/>
      <c r="DX86" s="57"/>
      <c r="DY86" s="57"/>
      <c r="DZ86" s="57"/>
      <c r="EA86" s="57"/>
      <c r="EB86" s="57"/>
      <c r="EC86" s="57"/>
      <c r="ED86" s="57"/>
      <c r="EE86" s="57"/>
      <c r="EF86" s="57"/>
      <c r="EG86" s="57"/>
      <c r="EH86" s="57"/>
      <c r="EI86" s="57"/>
      <c r="EJ86" s="57"/>
      <c r="EK86" s="57"/>
      <c r="EL86" s="57"/>
      <c r="EM86" s="57"/>
      <c r="EN86" s="57"/>
      <c r="EO86" s="57"/>
      <c r="EP86" s="57"/>
      <c r="EQ86" s="57"/>
      <c r="ER86" s="57"/>
      <c r="ES86" s="57"/>
      <c r="ET86" s="57"/>
      <c r="EU86" s="57"/>
      <c r="EV86" s="57"/>
      <c r="EW86" s="57"/>
      <c r="EX86" s="57"/>
      <c r="EY86" s="57"/>
      <c r="EZ86" s="57"/>
      <c r="FA86" s="57"/>
      <c r="FB86" s="57"/>
      <c r="FC86" s="57"/>
      <c r="FD86" s="57"/>
      <c r="FE86" s="57"/>
      <c r="FF86" s="57"/>
      <c r="FG86" s="57"/>
      <c r="FH86" s="57"/>
      <c r="FI86" s="57"/>
      <c r="FJ86" s="57"/>
      <c r="FK86" s="57"/>
      <c r="FL86" s="57"/>
      <c r="FM86" s="57"/>
      <c r="FN86" s="57"/>
      <c r="FO86" s="57"/>
      <c r="FP86" s="57"/>
      <c r="FQ86" s="57"/>
      <c r="FR86" s="57"/>
      <c r="FS86" s="57"/>
      <c r="FT86" s="57"/>
      <c r="FU86" s="57"/>
      <c r="FV86" s="57"/>
      <c r="FW86" s="57"/>
      <c r="FX86" s="57"/>
      <c r="FY86" s="57"/>
      <c r="FZ86" s="57"/>
      <c r="GA86" s="57"/>
      <c r="GB86" s="57"/>
      <c r="GC86" s="57"/>
      <c r="GD86" s="57"/>
      <c r="GE86" s="57"/>
    </row>
    <row r="87" spans="2:187" ht="12.6" customHeight="1" x14ac:dyDescent="0.2">
      <c r="B87" s="73" t="s">
        <v>128</v>
      </c>
      <c r="C87" s="74"/>
      <c r="D87" s="75">
        <f>SUMIF(F83:CL83,"&gt;"&amp;0) / -SUMIF(F83:CL83,"&lt;"&amp;0)</f>
        <v>5.5238897123316333</v>
      </c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  <c r="BU87" s="57"/>
      <c r="BV87" s="57"/>
      <c r="BW87" s="57"/>
      <c r="BX87" s="57"/>
      <c r="BY87" s="57"/>
      <c r="BZ87" s="57"/>
      <c r="CA87" s="57"/>
      <c r="CB87" s="57"/>
      <c r="CC87" s="57"/>
      <c r="CD87" s="57"/>
      <c r="CE87" s="57"/>
      <c r="CF87" s="57"/>
      <c r="CG87" s="57"/>
      <c r="CH87" s="57"/>
      <c r="CI87" s="57"/>
      <c r="DC87" s="57"/>
      <c r="DD87" s="57"/>
      <c r="DE87" s="57"/>
      <c r="DF87" s="57"/>
      <c r="DG87" s="57"/>
      <c r="DH87" s="57"/>
      <c r="DI87" s="57"/>
      <c r="DJ87" s="57"/>
      <c r="DK87" s="57"/>
      <c r="DL87" s="57"/>
      <c r="DM87" s="57"/>
      <c r="DN87" s="57"/>
      <c r="DO87" s="57"/>
      <c r="DP87" s="57"/>
      <c r="DQ87" s="57"/>
      <c r="DR87" s="57"/>
      <c r="DS87" s="57"/>
      <c r="DT87" s="57"/>
      <c r="DU87" s="57"/>
      <c r="DV87" s="57"/>
      <c r="DW87" s="57"/>
      <c r="DX87" s="57"/>
      <c r="DY87" s="57"/>
      <c r="DZ87" s="57"/>
      <c r="EA87" s="57"/>
      <c r="EB87" s="57"/>
      <c r="EC87" s="57"/>
      <c r="ED87" s="57"/>
      <c r="EE87" s="57"/>
      <c r="EF87" s="57"/>
      <c r="EG87" s="57"/>
      <c r="EH87" s="57"/>
      <c r="EI87" s="57"/>
      <c r="EJ87" s="57"/>
      <c r="EK87" s="57"/>
      <c r="EL87" s="57"/>
      <c r="EM87" s="57"/>
      <c r="EN87" s="57"/>
      <c r="EO87" s="57"/>
      <c r="EP87" s="57"/>
      <c r="EQ87" s="57"/>
      <c r="ER87" s="57"/>
      <c r="ES87" s="57"/>
      <c r="ET87" s="57"/>
      <c r="EU87" s="57"/>
      <c r="EV87" s="57"/>
      <c r="EW87" s="57"/>
      <c r="EX87" s="57"/>
      <c r="EY87" s="57"/>
      <c r="EZ87" s="57"/>
      <c r="FA87" s="57"/>
      <c r="FB87" s="57"/>
      <c r="FC87" s="57"/>
      <c r="FD87" s="57"/>
      <c r="FE87" s="57"/>
      <c r="FF87" s="57"/>
      <c r="FG87" s="57"/>
      <c r="FH87" s="57"/>
      <c r="FI87" s="57"/>
      <c r="FJ87" s="57"/>
      <c r="FK87" s="57"/>
      <c r="FL87" s="57"/>
      <c r="FM87" s="57"/>
      <c r="FN87" s="57"/>
      <c r="FO87" s="57"/>
      <c r="FP87" s="57"/>
      <c r="FQ87" s="57"/>
      <c r="FR87" s="57"/>
      <c r="FS87" s="57"/>
      <c r="FT87" s="57"/>
      <c r="FU87" s="57"/>
      <c r="FV87" s="57"/>
      <c r="FW87" s="57"/>
      <c r="FX87" s="57"/>
      <c r="FY87" s="57"/>
      <c r="FZ87" s="57"/>
      <c r="GA87" s="57"/>
      <c r="GB87" s="57"/>
      <c r="GC87" s="57"/>
      <c r="GD87" s="57"/>
      <c r="GE87" s="57"/>
    </row>
    <row r="88" spans="2:187" ht="12.6" customHeight="1" x14ac:dyDescent="0.2">
      <c r="J88" s="39"/>
      <c r="K88" s="39"/>
      <c r="L88" s="39"/>
      <c r="M88" s="39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57"/>
      <c r="BS88" s="57"/>
      <c r="BT88" s="57"/>
      <c r="BU88" s="57"/>
      <c r="BV88" s="57"/>
      <c r="BW88" s="57"/>
      <c r="BX88" s="57"/>
      <c r="BY88" s="57"/>
      <c r="BZ88" s="57"/>
      <c r="CA88" s="57"/>
      <c r="CB88" s="57"/>
      <c r="CC88" s="57"/>
      <c r="CD88" s="57"/>
      <c r="CE88" s="57"/>
      <c r="CF88" s="57"/>
      <c r="CG88" s="57"/>
      <c r="CH88" s="57"/>
      <c r="CI88" s="57"/>
      <c r="DC88" s="57"/>
      <c r="DD88" s="57"/>
      <c r="DE88" s="57"/>
      <c r="DF88" s="57"/>
      <c r="DG88" s="57"/>
      <c r="DH88" s="57"/>
      <c r="DI88" s="57"/>
      <c r="DJ88" s="57"/>
      <c r="DK88" s="57"/>
      <c r="DL88" s="57"/>
      <c r="DM88" s="57"/>
      <c r="DN88" s="57"/>
      <c r="DO88" s="57"/>
      <c r="DP88" s="57"/>
      <c r="DQ88" s="57"/>
      <c r="DR88" s="57"/>
      <c r="DS88" s="57"/>
      <c r="DT88" s="57"/>
      <c r="DU88" s="57"/>
      <c r="DV88" s="57"/>
      <c r="DW88" s="57"/>
      <c r="DX88" s="57"/>
      <c r="DY88" s="57"/>
      <c r="DZ88" s="57"/>
      <c r="EA88" s="57"/>
      <c r="EB88" s="57"/>
      <c r="EC88" s="57"/>
      <c r="ED88" s="57"/>
      <c r="EE88" s="57"/>
      <c r="EF88" s="57"/>
      <c r="EG88" s="57"/>
      <c r="EH88" s="57"/>
      <c r="EI88" s="57"/>
      <c r="EJ88" s="57"/>
      <c r="EK88" s="57"/>
      <c r="EL88" s="57"/>
      <c r="EM88" s="57"/>
      <c r="EN88" s="57"/>
      <c r="EO88" s="57"/>
      <c r="EP88" s="57"/>
      <c r="EQ88" s="57"/>
      <c r="ER88" s="57"/>
      <c r="ES88" s="57"/>
      <c r="ET88" s="57"/>
      <c r="EU88" s="57"/>
      <c r="EV88" s="57"/>
      <c r="EW88" s="57"/>
      <c r="EX88" s="57"/>
      <c r="EY88" s="57"/>
      <c r="EZ88" s="57"/>
      <c r="FA88" s="57"/>
      <c r="FB88" s="57"/>
      <c r="FC88" s="57"/>
      <c r="FD88" s="57"/>
      <c r="FE88" s="57"/>
      <c r="FF88" s="57"/>
      <c r="FG88" s="57"/>
      <c r="FH88" s="57"/>
      <c r="FI88" s="57"/>
      <c r="FJ88" s="57"/>
      <c r="FK88" s="57"/>
      <c r="FL88" s="57"/>
      <c r="FM88" s="57"/>
      <c r="FN88" s="57"/>
      <c r="FO88" s="57"/>
      <c r="FP88" s="57"/>
      <c r="FQ88" s="57"/>
      <c r="FR88" s="57"/>
      <c r="FS88" s="57"/>
      <c r="FT88" s="57"/>
      <c r="FU88" s="57"/>
      <c r="FV88" s="57"/>
      <c r="FW88" s="57"/>
      <c r="FX88" s="57"/>
      <c r="FY88" s="57"/>
      <c r="FZ88" s="57"/>
      <c r="GA88" s="57"/>
      <c r="GB88" s="57"/>
      <c r="GC88" s="57"/>
      <c r="GD88" s="57"/>
      <c r="GE88" s="57"/>
    </row>
    <row r="89" spans="2:187" ht="12.6" customHeight="1" x14ac:dyDescent="0.2">
      <c r="B89" s="76" t="s">
        <v>165</v>
      </c>
      <c r="C89" s="78"/>
      <c r="D89" s="78"/>
    </row>
    <row r="90" spans="2:187" ht="12.6" customHeight="1" x14ac:dyDescent="0.2">
      <c r="B90" s="22" t="s">
        <v>129</v>
      </c>
      <c r="D90" s="87"/>
      <c r="F90" s="89">
        <f>E94</f>
        <v>0</v>
      </c>
      <c r="G90" s="57">
        <f>F94</f>
        <v>5868000</v>
      </c>
      <c r="H90" s="57">
        <f t="shared" ref="H90:M90" si="29">G94</f>
        <v>6164321.5260000005</v>
      </c>
      <c r="I90" s="57">
        <f t="shared" si="29"/>
        <v>5997931.3403550014</v>
      </c>
      <c r="J90" s="57">
        <f t="shared" si="29"/>
        <v>5361983.3988244068</v>
      </c>
      <c r="K90" s="57">
        <f t="shared" si="29"/>
        <v>4546337.8596201465</v>
      </c>
      <c r="L90" s="57">
        <f t="shared" si="29"/>
        <v>3601185.0713986764</v>
      </c>
      <c r="M90" s="57">
        <f t="shared" si="29"/>
        <v>2514729.5754764006</v>
      </c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57"/>
      <c r="BS90" s="57"/>
      <c r="BT90" s="57"/>
      <c r="BU90" s="57"/>
      <c r="BV90" s="57"/>
      <c r="BW90" s="57"/>
      <c r="BX90" s="57"/>
      <c r="BY90" s="57"/>
      <c r="BZ90" s="57"/>
      <c r="CA90" s="57"/>
      <c r="CB90" s="57"/>
      <c r="CC90" s="57"/>
      <c r="CD90" s="57"/>
      <c r="CE90" s="57"/>
      <c r="CF90" s="57"/>
      <c r="CG90" s="57"/>
      <c r="CH90" s="57"/>
      <c r="CI90" s="57"/>
    </row>
    <row r="91" spans="2:187" ht="12.6" customHeight="1" x14ac:dyDescent="0.2">
      <c r="B91" s="22" t="s">
        <v>164</v>
      </c>
      <c r="D91" s="86">
        <f>Assumptions!H28</f>
        <v>7.4999999999999997E-2</v>
      </c>
      <c r="F91" s="89">
        <f>F90*$D$91</f>
        <v>0</v>
      </c>
      <c r="G91" s="57">
        <f>G90*$D$91</f>
        <v>440100</v>
      </c>
      <c r="H91" s="57">
        <f t="shared" ref="H91:M91" si="30">H90*$D$91</f>
        <v>462324.11445000005</v>
      </c>
      <c r="I91" s="57">
        <f t="shared" si="30"/>
        <v>449844.85052662512</v>
      </c>
      <c r="J91" s="57">
        <f t="shared" si="30"/>
        <v>402148.75491183047</v>
      </c>
      <c r="K91" s="57">
        <f t="shared" si="30"/>
        <v>340975.33947151096</v>
      </c>
      <c r="L91" s="57">
        <f t="shared" si="30"/>
        <v>270088.88035490073</v>
      </c>
      <c r="M91" s="57">
        <f t="shared" si="30"/>
        <v>188604.71816073003</v>
      </c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57"/>
      <c r="BI91" s="57"/>
      <c r="BJ91" s="57"/>
      <c r="BK91" s="57"/>
      <c r="BL91" s="57"/>
      <c r="BM91" s="57"/>
      <c r="BN91" s="57"/>
      <c r="BO91" s="57"/>
      <c r="BP91" s="57"/>
      <c r="BQ91" s="57"/>
      <c r="BR91" s="57"/>
      <c r="BS91" s="57"/>
      <c r="BT91" s="57"/>
      <c r="BU91" s="57"/>
      <c r="BV91" s="57"/>
      <c r="BW91" s="57"/>
      <c r="BX91" s="57"/>
      <c r="BY91" s="57"/>
      <c r="BZ91" s="57"/>
      <c r="CA91" s="57"/>
      <c r="CB91" s="57"/>
      <c r="CC91" s="57"/>
      <c r="CD91" s="57"/>
      <c r="CE91" s="57"/>
      <c r="CF91" s="57"/>
      <c r="CG91" s="57"/>
      <c r="CH91" s="57"/>
      <c r="CI91" s="57"/>
    </row>
    <row r="92" spans="2:187" ht="12.6" customHeight="1" x14ac:dyDescent="0.2">
      <c r="B92" s="22" t="s">
        <v>130</v>
      </c>
      <c r="D92" s="105">
        <v>0.9</v>
      </c>
      <c r="F92" s="57">
        <f>-MIN(-F81,0)*$D$92</f>
        <v>5868000</v>
      </c>
      <c r="G92" s="89">
        <f>-MIN(G83,0)*$D$92</f>
        <v>0</v>
      </c>
      <c r="H92" s="89">
        <f t="shared" ref="H92:M92" si="31">-MIN(H83,0)*$D$92</f>
        <v>0</v>
      </c>
      <c r="I92" s="89">
        <f t="shared" si="31"/>
        <v>0</v>
      </c>
      <c r="J92" s="89">
        <f t="shared" si="31"/>
        <v>0</v>
      </c>
      <c r="K92" s="89">
        <f t="shared" si="31"/>
        <v>0</v>
      </c>
      <c r="L92" s="89">
        <f t="shared" si="31"/>
        <v>0</v>
      </c>
      <c r="M92" s="89">
        <f t="shared" si="31"/>
        <v>0</v>
      </c>
      <c r="N92" s="57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</row>
    <row r="93" spans="2:187" ht="12.6" customHeight="1" x14ac:dyDescent="0.2">
      <c r="B93" s="22" t="s">
        <v>163</v>
      </c>
      <c r="D93" s="105">
        <v>0.9</v>
      </c>
      <c r="F93" s="64">
        <f>MIN(MAX(F83,0)*$D$93,F90+F91)</f>
        <v>0</v>
      </c>
      <c r="G93" s="57">
        <f t="shared" ref="G93:M93" si="32">MIN(MAX(G83,0)*$D$93,G90+G91)</f>
        <v>143778.4739999999</v>
      </c>
      <c r="H93" s="57">
        <f t="shared" si="32"/>
        <v>628714.30009499949</v>
      </c>
      <c r="I93" s="57">
        <f t="shared" si="32"/>
        <v>1085792.7920572194</v>
      </c>
      <c r="J93" s="57">
        <f t="shared" si="32"/>
        <v>1217794.2941160914</v>
      </c>
      <c r="K93" s="57">
        <f t="shared" si="32"/>
        <v>1286128.1276929807</v>
      </c>
      <c r="L93" s="57">
        <f t="shared" si="32"/>
        <v>1356544.3762771769</v>
      </c>
      <c r="M93" s="57">
        <f t="shared" si="32"/>
        <v>2703334.2936371304</v>
      </c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/>
      <c r="BS93" s="57"/>
      <c r="BT93" s="57"/>
      <c r="BU93" s="57"/>
      <c r="BV93" s="57"/>
      <c r="BW93" s="57"/>
      <c r="BX93" s="57"/>
      <c r="BY93" s="57"/>
      <c r="BZ93" s="57"/>
      <c r="CA93" s="57"/>
      <c r="CB93" s="57"/>
      <c r="CC93" s="57"/>
      <c r="CD93" s="57"/>
      <c r="CE93" s="57"/>
      <c r="CF93" s="57"/>
      <c r="CG93" s="57"/>
      <c r="CH93" s="57"/>
      <c r="CI93" s="57"/>
    </row>
    <row r="94" spans="2:187" ht="12.6" customHeight="1" x14ac:dyDescent="0.2">
      <c r="B94" s="22" t="s">
        <v>132</v>
      </c>
      <c r="F94" s="57">
        <f>F90+F91+F92-F93</f>
        <v>5868000</v>
      </c>
      <c r="G94" s="57">
        <f>G90+G91+G92-G93</f>
        <v>6164321.5260000005</v>
      </c>
      <c r="H94" s="57">
        <f t="shared" ref="H94:M94" si="33">H90+H91+H92-H93</f>
        <v>5997931.3403550014</v>
      </c>
      <c r="I94" s="57">
        <f t="shared" si="33"/>
        <v>5361983.3988244068</v>
      </c>
      <c r="J94" s="57">
        <f t="shared" si="33"/>
        <v>4546337.8596201465</v>
      </c>
      <c r="K94" s="57">
        <f t="shared" si="33"/>
        <v>3601185.0713986764</v>
      </c>
      <c r="L94" s="57">
        <f t="shared" si="33"/>
        <v>2514729.5754764006</v>
      </c>
      <c r="M94" s="89">
        <f t="shared" si="33"/>
        <v>0</v>
      </c>
      <c r="N94" s="89"/>
      <c r="O94" s="89"/>
      <c r="P94" s="89"/>
      <c r="Q94" s="89"/>
      <c r="R94" s="89"/>
      <c r="S94" s="89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 s="57"/>
      <c r="CD94" s="57"/>
      <c r="CE94" s="57"/>
      <c r="CF94" s="57"/>
      <c r="CG94" s="57"/>
      <c r="CH94" s="57"/>
      <c r="CI94" s="57"/>
    </row>
    <row r="95" spans="2:187" ht="12.6" customHeight="1" x14ac:dyDescent="0.2">
      <c r="B95" s="22" t="s">
        <v>136</v>
      </c>
      <c r="D95" s="133">
        <f>XIRR(F95:N95,F8:N8)</f>
        <v>7.4992927908897417E-2</v>
      </c>
      <c r="F95" s="57">
        <f>-F92+F93</f>
        <v>-5868000</v>
      </c>
      <c r="G95" s="57">
        <f>-G92+G93</f>
        <v>143778.4739999999</v>
      </c>
      <c r="H95" s="57">
        <f t="shared" ref="H95:M95" si="34">-H92+H93</f>
        <v>628714.30009499949</v>
      </c>
      <c r="I95" s="57">
        <f t="shared" si="34"/>
        <v>1085792.7920572194</v>
      </c>
      <c r="J95" s="57">
        <f t="shared" si="34"/>
        <v>1217794.2941160914</v>
      </c>
      <c r="K95" s="57">
        <f t="shared" si="34"/>
        <v>1286128.1276929807</v>
      </c>
      <c r="L95" s="57">
        <f t="shared" si="34"/>
        <v>1356544.3762771769</v>
      </c>
      <c r="M95" s="57">
        <f t="shared" si="34"/>
        <v>2703334.2936371304</v>
      </c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  <c r="BV95" s="57"/>
      <c r="BW95" s="57"/>
      <c r="BX95" s="57"/>
      <c r="BY95" s="57"/>
      <c r="BZ95" s="57"/>
      <c r="CA95" s="57"/>
      <c r="CB95" s="57"/>
      <c r="CC95" s="57"/>
      <c r="CD95" s="57"/>
      <c r="CE95" s="57"/>
      <c r="CF95" s="57"/>
      <c r="CG95" s="57"/>
      <c r="CH95" s="57"/>
      <c r="CI95" s="57"/>
    </row>
    <row r="97" spans="2:87" ht="12.6" customHeight="1" x14ac:dyDescent="0.2">
      <c r="B97" s="22" t="s">
        <v>133</v>
      </c>
      <c r="D97" s="105">
        <v>0.1</v>
      </c>
      <c r="F97" s="57">
        <f>-MIN(-F81,0)*$D$97</f>
        <v>652000</v>
      </c>
      <c r="G97" s="89">
        <f t="shared" ref="G97:M97" si="35">-MIN(G83,0)*$D$97</f>
        <v>0</v>
      </c>
      <c r="H97" s="89">
        <f t="shared" si="35"/>
        <v>0</v>
      </c>
      <c r="I97" s="89">
        <f t="shared" si="35"/>
        <v>0</v>
      </c>
      <c r="J97" s="89">
        <f t="shared" si="35"/>
        <v>0</v>
      </c>
      <c r="K97" s="89">
        <f t="shared" si="35"/>
        <v>0</v>
      </c>
      <c r="L97" s="89">
        <f t="shared" si="35"/>
        <v>0</v>
      </c>
      <c r="M97" s="89">
        <f t="shared" si="35"/>
        <v>0</v>
      </c>
      <c r="N97" s="64"/>
      <c r="O97" s="64"/>
      <c r="P97" s="64"/>
      <c r="Q97" s="64"/>
      <c r="R97" s="64"/>
      <c r="S97" s="64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7"/>
      <c r="BS97" s="57"/>
      <c r="BT97" s="57"/>
      <c r="BU97" s="57"/>
      <c r="BV97" s="57"/>
      <c r="BW97" s="57"/>
      <c r="BX97" s="57"/>
      <c r="BY97" s="57"/>
      <c r="BZ97" s="57"/>
      <c r="CA97" s="57"/>
      <c r="CB97" s="57"/>
      <c r="CC97" s="57"/>
      <c r="CD97" s="57"/>
      <c r="CE97" s="57"/>
      <c r="CF97" s="57"/>
      <c r="CG97" s="57"/>
      <c r="CH97" s="57"/>
      <c r="CI97" s="57"/>
    </row>
    <row r="98" spans="2:87" ht="12.6" customHeight="1" x14ac:dyDescent="0.2">
      <c r="B98" s="22" t="s">
        <v>134</v>
      </c>
      <c r="D98" s="105">
        <v>0.1</v>
      </c>
      <c r="F98" s="64">
        <f>F93/$D$93*$D$98</f>
        <v>0</v>
      </c>
      <c r="G98" s="57">
        <f t="shared" ref="G98:M98" si="36">G93/$D$93*$D$98</f>
        <v>15975.385999999991</v>
      </c>
      <c r="H98" s="57">
        <f t="shared" si="36"/>
        <v>69857.144454999943</v>
      </c>
      <c r="I98" s="57">
        <f t="shared" si="36"/>
        <v>120643.64356191327</v>
      </c>
      <c r="J98" s="57">
        <f t="shared" si="36"/>
        <v>135310.47712401018</v>
      </c>
      <c r="K98" s="57">
        <f t="shared" si="36"/>
        <v>142903.12529922006</v>
      </c>
      <c r="L98" s="57">
        <f t="shared" si="36"/>
        <v>150727.15291968634</v>
      </c>
      <c r="M98" s="57">
        <f t="shared" si="36"/>
        <v>300370.47707079229</v>
      </c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57"/>
      <c r="BS98" s="57"/>
      <c r="BT98" s="57"/>
      <c r="BU98" s="57"/>
      <c r="BV98" s="57"/>
      <c r="BW98" s="57"/>
      <c r="BX98" s="57"/>
      <c r="BY98" s="57"/>
      <c r="BZ98" s="57"/>
      <c r="CA98" s="57"/>
      <c r="CB98" s="57"/>
      <c r="CC98" s="57"/>
      <c r="CD98" s="57"/>
      <c r="CE98" s="57"/>
      <c r="CF98" s="57"/>
      <c r="CG98" s="57"/>
      <c r="CH98" s="57"/>
      <c r="CI98" s="57"/>
    </row>
    <row r="99" spans="2:87" ht="12.6" customHeight="1" x14ac:dyDescent="0.2">
      <c r="B99" s="22" t="s">
        <v>135</v>
      </c>
      <c r="D99" s="133">
        <f>XIRR(F99:M99,F8:M8)</f>
        <v>7.4992927908897417E-2</v>
      </c>
      <c r="F99" s="57">
        <f>-F97+F98</f>
        <v>-652000</v>
      </c>
      <c r="G99" s="57">
        <f t="shared" ref="G99:M99" si="37">-G97+G98</f>
        <v>15975.385999999991</v>
      </c>
      <c r="H99" s="57">
        <f t="shared" si="37"/>
        <v>69857.144454999943</v>
      </c>
      <c r="I99" s="57">
        <f t="shared" si="37"/>
        <v>120643.64356191327</v>
      </c>
      <c r="J99" s="57">
        <f t="shared" si="37"/>
        <v>135310.47712401018</v>
      </c>
      <c r="K99" s="57">
        <f t="shared" si="37"/>
        <v>142903.12529922006</v>
      </c>
      <c r="L99" s="57">
        <f t="shared" si="37"/>
        <v>150727.15291968634</v>
      </c>
      <c r="M99" s="57">
        <f t="shared" si="37"/>
        <v>300370.47707079229</v>
      </c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57"/>
      <c r="BS99" s="57"/>
      <c r="BT99" s="57"/>
      <c r="BU99" s="57"/>
      <c r="BV99" s="57"/>
      <c r="BW99" s="57"/>
      <c r="BX99" s="57"/>
      <c r="BY99" s="57"/>
      <c r="BZ99" s="57"/>
      <c r="CA99" s="57"/>
      <c r="CB99" s="57"/>
      <c r="CC99" s="57"/>
      <c r="CD99" s="57"/>
      <c r="CE99" s="57"/>
      <c r="CF99" s="57"/>
      <c r="CG99" s="57"/>
      <c r="CH99" s="57"/>
      <c r="CI99" s="57"/>
    </row>
    <row r="101" spans="2:87" ht="12.6" customHeight="1" x14ac:dyDescent="0.2">
      <c r="B101" s="22" t="s">
        <v>141</v>
      </c>
      <c r="F101" s="64">
        <f>F93+F98</f>
        <v>0</v>
      </c>
      <c r="G101" s="57">
        <f t="shared" ref="G101:M101" si="38">G93+G98</f>
        <v>159753.8599999999</v>
      </c>
      <c r="H101" s="57">
        <f>H93+H98</f>
        <v>698571.44454999943</v>
      </c>
      <c r="I101" s="57">
        <f t="shared" si="38"/>
        <v>1206436.4356191326</v>
      </c>
      <c r="J101" s="57">
        <f t="shared" si="38"/>
        <v>1353104.7712401017</v>
      </c>
      <c r="K101" s="57">
        <f t="shared" si="38"/>
        <v>1429031.2529922007</v>
      </c>
      <c r="L101" s="57">
        <f>L93+L98</f>
        <v>1507271.5291968633</v>
      </c>
      <c r="M101" s="57">
        <f t="shared" si="38"/>
        <v>3003704.7707079225</v>
      </c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  <c r="BS101" s="57"/>
      <c r="BT101" s="57"/>
      <c r="BU101" s="57"/>
      <c r="BV101" s="57"/>
      <c r="BW101" s="57"/>
      <c r="BX101" s="57"/>
      <c r="BY101" s="57"/>
      <c r="BZ101" s="57"/>
      <c r="CA101" s="57"/>
      <c r="CB101" s="57"/>
      <c r="CC101" s="57"/>
      <c r="CD101" s="57"/>
      <c r="CE101" s="57"/>
      <c r="CF101" s="57"/>
      <c r="CG101" s="57"/>
      <c r="CH101" s="57"/>
      <c r="CI101" s="57"/>
    </row>
    <row r="102" spans="2:87" ht="12.6" customHeight="1" x14ac:dyDescent="0.2">
      <c r="B102" s="22" t="s">
        <v>142</v>
      </c>
      <c r="F102" s="64">
        <f>MAX(F67,0)-F101</f>
        <v>0</v>
      </c>
      <c r="G102" s="64">
        <f>MAX(G83,0)-G101</f>
        <v>0</v>
      </c>
      <c r="H102" s="64">
        <f t="shared" ref="H102:M102" si="39">MAX(H83,0)-H101</f>
        <v>0</v>
      </c>
      <c r="I102" s="64">
        <f t="shared" si="39"/>
        <v>0</v>
      </c>
      <c r="J102" s="64">
        <f t="shared" si="39"/>
        <v>0</v>
      </c>
      <c r="K102" s="64">
        <f t="shared" si="39"/>
        <v>0</v>
      </c>
      <c r="L102" s="64">
        <f t="shared" si="39"/>
        <v>0</v>
      </c>
      <c r="M102" s="57">
        <f t="shared" si="39"/>
        <v>37705666.284759298</v>
      </c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  <c r="AS102" s="89"/>
      <c r="AT102" s="89"/>
      <c r="AU102" s="89"/>
      <c r="AV102" s="89"/>
      <c r="AW102" s="89"/>
      <c r="AX102" s="89"/>
      <c r="AY102" s="89"/>
      <c r="AZ102" s="89"/>
      <c r="BA102" s="89"/>
      <c r="BB102" s="89"/>
      <c r="BC102" s="89"/>
      <c r="BD102" s="89"/>
      <c r="BE102" s="89"/>
      <c r="BF102" s="89"/>
      <c r="BG102" s="89"/>
      <c r="BH102" s="89"/>
      <c r="BI102" s="89"/>
      <c r="BJ102" s="89"/>
      <c r="BK102" s="89"/>
      <c r="BL102" s="89"/>
      <c r="BM102" s="89"/>
      <c r="BN102" s="89"/>
      <c r="BO102" s="89"/>
      <c r="BP102" s="89"/>
      <c r="BQ102" s="89"/>
      <c r="BR102" s="89"/>
      <c r="BS102" s="89"/>
      <c r="BT102" s="89"/>
      <c r="BU102" s="89"/>
      <c r="BV102" s="89"/>
      <c r="BW102" s="89"/>
      <c r="BX102" s="89"/>
      <c r="BY102" s="89"/>
      <c r="BZ102" s="89"/>
      <c r="CA102" s="89"/>
      <c r="CB102" s="89"/>
      <c r="CC102" s="89"/>
      <c r="CD102" s="89"/>
      <c r="CE102" s="89"/>
      <c r="CF102" s="89"/>
      <c r="CG102" s="89"/>
      <c r="CH102" s="89"/>
      <c r="CI102" s="89"/>
    </row>
    <row r="103" spans="2:87" ht="12.6" customHeight="1" x14ac:dyDescent="0.2">
      <c r="F103" s="64"/>
      <c r="G103" s="64"/>
      <c r="H103" s="64"/>
      <c r="I103" s="64"/>
      <c r="J103" s="64"/>
      <c r="K103" s="64"/>
      <c r="L103" s="64"/>
      <c r="M103" s="57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  <c r="AS103" s="89"/>
      <c r="AT103" s="89"/>
      <c r="AU103" s="89"/>
      <c r="AV103" s="89"/>
      <c r="AW103" s="89"/>
      <c r="AX103" s="89"/>
      <c r="AY103" s="89"/>
      <c r="AZ103" s="89"/>
      <c r="BA103" s="89"/>
      <c r="BB103" s="89"/>
      <c r="BC103" s="89"/>
      <c r="BD103" s="89"/>
      <c r="BE103" s="89"/>
      <c r="BF103" s="89"/>
      <c r="BG103" s="89"/>
      <c r="BH103" s="89"/>
      <c r="BI103" s="89"/>
      <c r="BJ103" s="89"/>
      <c r="BK103" s="89"/>
      <c r="BL103" s="89"/>
      <c r="BM103" s="89"/>
      <c r="BN103" s="89"/>
      <c r="BO103" s="89"/>
      <c r="BP103" s="89"/>
      <c r="BQ103" s="89"/>
      <c r="BR103" s="89"/>
      <c r="BS103" s="89"/>
      <c r="BT103" s="89"/>
      <c r="BU103" s="89"/>
      <c r="BV103" s="89"/>
      <c r="BW103" s="89"/>
      <c r="BX103" s="89"/>
      <c r="BY103" s="89"/>
      <c r="BZ103" s="89"/>
      <c r="CA103" s="89"/>
      <c r="CB103" s="89"/>
      <c r="CC103" s="89"/>
      <c r="CD103" s="89"/>
      <c r="CE103" s="89"/>
      <c r="CF103" s="89"/>
      <c r="CG103" s="89"/>
      <c r="CH103" s="89"/>
      <c r="CI103" s="89"/>
    </row>
    <row r="104" spans="2:87" ht="12.6" customHeight="1" x14ac:dyDescent="0.2">
      <c r="B104" s="35" t="s">
        <v>162</v>
      </c>
      <c r="F104" s="64"/>
      <c r="G104" s="64"/>
      <c r="H104" s="64"/>
      <c r="I104" s="64"/>
      <c r="J104" s="64"/>
      <c r="K104" s="64"/>
      <c r="L104" s="64"/>
      <c r="M104" s="57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s="89"/>
      <c r="AV104" s="89"/>
      <c r="AW104" s="89"/>
      <c r="AX104" s="89"/>
      <c r="AY104" s="89"/>
      <c r="AZ104" s="89"/>
      <c r="BA104" s="89"/>
      <c r="BB104" s="89"/>
      <c r="BC104" s="89"/>
      <c r="BD104" s="89"/>
      <c r="BE104" s="89"/>
      <c r="BF104" s="89"/>
      <c r="BG104" s="89"/>
      <c r="BH104" s="89"/>
      <c r="BI104" s="89"/>
      <c r="BJ104" s="89"/>
      <c r="BK104" s="89"/>
      <c r="BL104" s="89"/>
      <c r="BM104" s="89"/>
      <c r="BN104" s="89"/>
      <c r="BO104" s="89"/>
      <c r="BP104" s="89"/>
      <c r="BQ104" s="89"/>
      <c r="BR104" s="89"/>
      <c r="BS104" s="89"/>
      <c r="BT104" s="89"/>
      <c r="BU104" s="89"/>
      <c r="BV104" s="89"/>
      <c r="BW104" s="89"/>
      <c r="BX104" s="89"/>
      <c r="BY104" s="89"/>
      <c r="BZ104" s="89"/>
      <c r="CA104" s="89"/>
      <c r="CB104" s="89"/>
      <c r="CC104" s="89"/>
      <c r="CD104" s="89"/>
      <c r="CE104" s="89"/>
      <c r="CF104" s="89"/>
      <c r="CG104" s="89"/>
      <c r="CH104" s="89"/>
      <c r="CI104" s="89"/>
    </row>
    <row r="105" spans="2:87" ht="12.6" customHeight="1" x14ac:dyDescent="0.2">
      <c r="B105" s="22" t="s">
        <v>49</v>
      </c>
      <c r="D105" s="86">
        <f>Assumptions!H29</f>
        <v>0.25</v>
      </c>
      <c r="F105" s="64"/>
      <c r="G105" s="64"/>
      <c r="H105" s="64"/>
      <c r="I105" s="64"/>
      <c r="J105" s="64"/>
      <c r="K105" s="64"/>
      <c r="L105" s="64"/>
      <c r="M105" s="57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  <c r="AS105" s="89"/>
      <c r="AT105" s="89"/>
      <c r="AU105" s="89"/>
      <c r="AV105" s="89"/>
      <c r="AW105" s="89"/>
      <c r="AX105" s="89"/>
      <c r="AY105" s="89"/>
      <c r="AZ105" s="89"/>
      <c r="BA105" s="89"/>
      <c r="BB105" s="89"/>
      <c r="BC105" s="89"/>
      <c r="BD105" s="89"/>
      <c r="BE105" s="89"/>
      <c r="BF105" s="89"/>
      <c r="BG105" s="89"/>
      <c r="BH105" s="89"/>
      <c r="BI105" s="89"/>
      <c r="BJ105" s="89"/>
      <c r="BK105" s="89"/>
      <c r="BL105" s="89"/>
      <c r="BM105" s="89"/>
      <c r="BN105" s="89"/>
      <c r="BO105" s="89"/>
      <c r="BP105" s="89"/>
      <c r="BQ105" s="89"/>
      <c r="BR105" s="89"/>
      <c r="BS105" s="89"/>
      <c r="BT105" s="89"/>
      <c r="BU105" s="89"/>
      <c r="BV105" s="89"/>
      <c r="BW105" s="89"/>
      <c r="BX105" s="89"/>
      <c r="BY105" s="89"/>
      <c r="BZ105" s="89"/>
      <c r="CA105" s="89"/>
      <c r="CB105" s="89"/>
      <c r="CC105" s="89"/>
      <c r="CD105" s="89"/>
      <c r="CE105" s="89"/>
      <c r="CF105" s="89"/>
      <c r="CG105" s="89"/>
      <c r="CH105" s="89"/>
      <c r="CI105" s="89"/>
    </row>
    <row r="106" spans="2:87" ht="12.6" customHeight="1" x14ac:dyDescent="0.2">
      <c r="B106" s="22" t="s">
        <v>163</v>
      </c>
      <c r="D106" s="176">
        <f>1-D107</f>
        <v>0.67500000000000004</v>
      </c>
      <c r="F106" s="64">
        <f>F102*$D$106</f>
        <v>0</v>
      </c>
      <c r="G106" s="64">
        <f t="shared" ref="G106:L106" si="40">G102*$D$106</f>
        <v>0</v>
      </c>
      <c r="H106" s="64">
        <f t="shared" si="40"/>
        <v>0</v>
      </c>
      <c r="I106" s="64">
        <f t="shared" si="40"/>
        <v>0</v>
      </c>
      <c r="J106" s="64">
        <f t="shared" si="40"/>
        <v>0</v>
      </c>
      <c r="K106" s="64">
        <f t="shared" si="40"/>
        <v>0</v>
      </c>
      <c r="L106" s="64">
        <f t="shared" si="40"/>
        <v>0</v>
      </c>
      <c r="M106" s="57">
        <f>M102*$D$106</f>
        <v>25451324.742212527</v>
      </c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  <c r="AS106" s="89"/>
      <c r="AT106" s="89"/>
      <c r="AU106" s="89"/>
      <c r="AV106" s="89"/>
      <c r="AW106" s="89"/>
      <c r="AX106" s="89"/>
      <c r="AY106" s="89"/>
      <c r="AZ106" s="89"/>
      <c r="BA106" s="89"/>
      <c r="BB106" s="89"/>
      <c r="BC106" s="89"/>
      <c r="BD106" s="89"/>
      <c r="BE106" s="89"/>
      <c r="BF106" s="89"/>
      <c r="BG106" s="89"/>
      <c r="BH106" s="89"/>
      <c r="BI106" s="89"/>
      <c r="BJ106" s="89"/>
      <c r="BK106" s="89"/>
      <c r="BL106" s="89"/>
      <c r="BM106" s="89"/>
      <c r="BN106" s="89"/>
      <c r="BO106" s="89"/>
      <c r="BP106" s="89"/>
      <c r="BQ106" s="89"/>
      <c r="BR106" s="89"/>
      <c r="BS106" s="89"/>
      <c r="BT106" s="89"/>
      <c r="BU106" s="89"/>
      <c r="BV106" s="89"/>
      <c r="BW106" s="89"/>
      <c r="BX106" s="89"/>
      <c r="BY106" s="89"/>
      <c r="BZ106" s="89"/>
      <c r="CA106" s="89"/>
      <c r="CB106" s="89"/>
      <c r="CC106" s="89"/>
      <c r="CD106" s="89"/>
      <c r="CE106" s="89"/>
      <c r="CF106" s="89"/>
      <c r="CG106" s="89"/>
      <c r="CH106" s="89"/>
      <c r="CI106" s="89"/>
    </row>
    <row r="107" spans="2:87" ht="12.6" customHeight="1" x14ac:dyDescent="0.2">
      <c r="B107" s="22" t="s">
        <v>134</v>
      </c>
      <c r="D107" s="176">
        <f>D105+(1-D105)*D98</f>
        <v>0.32500000000000001</v>
      </c>
      <c r="F107" s="64">
        <f>F102*$D$107</f>
        <v>0</v>
      </c>
      <c r="G107" s="64">
        <f t="shared" ref="G107:M107" si="41">G102*$D$107</f>
        <v>0</v>
      </c>
      <c r="H107" s="64">
        <f t="shared" si="41"/>
        <v>0</v>
      </c>
      <c r="I107" s="64">
        <f t="shared" si="41"/>
        <v>0</v>
      </c>
      <c r="J107" s="64">
        <f t="shared" si="41"/>
        <v>0</v>
      </c>
      <c r="K107" s="64">
        <f t="shared" si="41"/>
        <v>0</v>
      </c>
      <c r="L107" s="64">
        <f t="shared" si="41"/>
        <v>0</v>
      </c>
      <c r="M107" s="57">
        <f t="shared" si="41"/>
        <v>12254341.542546771</v>
      </c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  <c r="AS107" s="89"/>
      <c r="AT107" s="89"/>
      <c r="AU107" s="89"/>
      <c r="AV107" s="89"/>
      <c r="AW107" s="89"/>
      <c r="AX107" s="89"/>
      <c r="AY107" s="89"/>
      <c r="AZ107" s="89"/>
      <c r="BA107" s="89"/>
      <c r="BB107" s="89"/>
      <c r="BC107" s="89"/>
      <c r="BD107" s="89"/>
      <c r="BE107" s="89"/>
      <c r="BF107" s="89"/>
      <c r="BG107" s="89"/>
      <c r="BH107" s="89"/>
      <c r="BI107" s="89"/>
      <c r="BJ107" s="89"/>
      <c r="BK107" s="89"/>
      <c r="BL107" s="89"/>
      <c r="BM107" s="89"/>
      <c r="BN107" s="89"/>
      <c r="BO107" s="89"/>
      <c r="BP107" s="89"/>
      <c r="BQ107" s="89"/>
      <c r="BR107" s="89"/>
      <c r="BS107" s="89"/>
      <c r="BT107" s="89"/>
      <c r="BU107" s="89"/>
      <c r="BV107" s="89"/>
      <c r="BW107" s="89"/>
      <c r="BX107" s="89"/>
      <c r="BY107" s="89"/>
      <c r="BZ107" s="89"/>
      <c r="CA107" s="89"/>
      <c r="CB107" s="89"/>
      <c r="CC107" s="89"/>
      <c r="CD107" s="89"/>
      <c r="CE107" s="89"/>
      <c r="CF107" s="89"/>
      <c r="CG107" s="89"/>
      <c r="CH107" s="89"/>
      <c r="CI107" s="89"/>
    </row>
    <row r="108" spans="2:87" ht="12.6" customHeight="1" x14ac:dyDescent="0.2">
      <c r="J108" s="31"/>
      <c r="K108" s="31"/>
      <c r="L108" s="31"/>
      <c r="M108" s="31"/>
      <c r="N108" s="31"/>
    </row>
    <row r="109" spans="2:87" ht="12.6" customHeight="1" x14ac:dyDescent="0.15">
      <c r="B109" s="175" t="s">
        <v>159</v>
      </c>
      <c r="C109" s="78"/>
      <c r="D109" s="78"/>
      <c r="K109" s="57"/>
      <c r="L109" s="57"/>
      <c r="M109" s="57"/>
    </row>
    <row r="110" spans="2:87" ht="12.6" customHeight="1" x14ac:dyDescent="0.2">
      <c r="B110" s="92"/>
      <c r="K110" s="57"/>
      <c r="L110" s="57"/>
      <c r="M110" s="57"/>
    </row>
    <row r="111" spans="2:87" ht="12.6" customHeight="1" x14ac:dyDescent="0.15">
      <c r="B111" s="129" t="s">
        <v>157</v>
      </c>
      <c r="C111" s="131">
        <f>Assumptions!C39</f>
        <v>0</v>
      </c>
      <c r="D111" s="128"/>
      <c r="E111" s="128"/>
      <c r="F111" s="128"/>
      <c r="G111" s="128"/>
      <c r="H111" s="128"/>
      <c r="K111" s="57"/>
      <c r="L111" s="57"/>
      <c r="M111" s="57"/>
    </row>
    <row r="112" spans="2:87" ht="12.6" customHeight="1" x14ac:dyDescent="0.2">
      <c r="B112" s="153" t="s">
        <v>56</v>
      </c>
      <c r="C112" s="123">
        <f>Assumptions!B36</f>
        <v>5.5E-2</v>
      </c>
      <c r="K112" s="57"/>
      <c r="L112" s="57"/>
      <c r="M112" s="57"/>
    </row>
    <row r="113" spans="2:13" ht="12.6" customHeight="1" x14ac:dyDescent="0.2">
      <c r="B113" s="154" t="s">
        <v>156</v>
      </c>
      <c r="D113" s="155" t="s">
        <v>154</v>
      </c>
      <c r="E113" s="156">
        <v>0.01</v>
      </c>
      <c r="F113" s="116"/>
      <c r="G113" s="155" t="s">
        <v>155</v>
      </c>
      <c r="H113" s="157">
        <v>2.5000000000000001E-3</v>
      </c>
    </row>
    <row r="114" spans="2:13" ht="12.6" customHeight="1" x14ac:dyDescent="0.15">
      <c r="B114" s="151"/>
      <c r="C114" s="128"/>
      <c r="D114" s="128"/>
      <c r="E114" s="128"/>
      <c r="F114" s="152"/>
      <c r="G114" s="128"/>
      <c r="H114" s="128"/>
      <c r="J114" s="31"/>
      <c r="K114" s="57"/>
      <c r="L114" s="57"/>
      <c r="M114" s="57"/>
    </row>
    <row r="115" spans="2:13" ht="12.6" customHeight="1" x14ac:dyDescent="0.2">
      <c r="B115" s="57">
        <f>M43</f>
        <v>50355093.33476723</v>
      </c>
      <c r="C115" s="4">
        <v>0</v>
      </c>
      <c r="D115" s="4">
        <f>C115+$E$113</f>
        <v>0.01</v>
      </c>
      <c r="E115" s="4">
        <f>D115+$E$113</f>
        <v>0.02</v>
      </c>
      <c r="F115" s="4">
        <f>E115+$E$113</f>
        <v>0.03</v>
      </c>
      <c r="G115" s="4">
        <f>F115+$E$113</f>
        <v>0.04</v>
      </c>
      <c r="H115" s="4">
        <f>G115+$E$113</f>
        <v>0.05</v>
      </c>
      <c r="K115" s="57"/>
      <c r="L115" s="57"/>
      <c r="M115" s="57"/>
    </row>
    <row r="116" spans="2:13" ht="12.6" customHeight="1" x14ac:dyDescent="0.2">
      <c r="B116" s="4">
        <v>0.05</v>
      </c>
      <c r="C116" s="158">
        <v>55390600</v>
      </c>
      <c r="D116" s="159">
        <v>55944506</v>
      </c>
      <c r="E116" s="159">
        <v>56498412</v>
      </c>
      <c r="F116" s="159">
        <v>57052318</v>
      </c>
      <c r="G116" s="159">
        <v>57606224</v>
      </c>
      <c r="H116" s="160">
        <v>58160130</v>
      </c>
      <c r="K116" s="57"/>
      <c r="L116" s="57"/>
      <c r="M116" s="57"/>
    </row>
    <row r="117" spans="2:13" ht="12.6" customHeight="1" x14ac:dyDescent="0.2">
      <c r="B117" s="4">
        <f t="shared" ref="B117:B122" si="42">B116+$H$113</f>
        <v>5.2500000000000005E-2</v>
      </c>
      <c r="C117" s="161">
        <v>52752952</v>
      </c>
      <c r="D117" s="57">
        <v>53280482</v>
      </c>
      <c r="E117" s="57">
        <v>53808011</v>
      </c>
      <c r="F117" s="57">
        <v>54335541</v>
      </c>
      <c r="G117" s="57">
        <v>54863070</v>
      </c>
      <c r="H117" s="122">
        <v>55390600</v>
      </c>
      <c r="J117" s="31"/>
      <c r="K117" s="31"/>
      <c r="L117" s="31"/>
    </row>
    <row r="118" spans="2:13" ht="12.6" customHeight="1" x14ac:dyDescent="0.2">
      <c r="B118" s="4">
        <f t="shared" si="42"/>
        <v>5.5000000000000007E-2</v>
      </c>
      <c r="C118" s="161">
        <v>50355091</v>
      </c>
      <c r="D118" s="57">
        <v>50858641</v>
      </c>
      <c r="E118" s="57">
        <v>51362192</v>
      </c>
      <c r="F118" s="57">
        <v>51865743</v>
      </c>
      <c r="G118" s="57">
        <v>52369294</v>
      </c>
      <c r="H118" s="122">
        <v>52872845</v>
      </c>
      <c r="K118" s="57"/>
      <c r="L118" s="57"/>
      <c r="M118" s="57"/>
    </row>
    <row r="119" spans="2:13" ht="12.6" customHeight="1" x14ac:dyDescent="0.2">
      <c r="B119" s="4">
        <f t="shared" si="42"/>
        <v>5.7500000000000009E-2</v>
      </c>
      <c r="C119" s="161">
        <v>48165739</v>
      </c>
      <c r="D119" s="57">
        <v>48647396</v>
      </c>
      <c r="E119" s="57">
        <v>49129054</v>
      </c>
      <c r="F119" s="57">
        <v>49610711</v>
      </c>
      <c r="G119" s="57">
        <v>50092368</v>
      </c>
      <c r="H119" s="122">
        <v>50574026</v>
      </c>
      <c r="K119" s="89"/>
      <c r="L119" s="89"/>
      <c r="M119" s="89"/>
    </row>
    <row r="120" spans="2:13" ht="12.6" customHeight="1" x14ac:dyDescent="0.2">
      <c r="B120" s="4">
        <f t="shared" si="42"/>
        <v>6.0000000000000012E-2</v>
      </c>
      <c r="C120" s="161">
        <v>46158833</v>
      </c>
      <c r="D120" s="57">
        <v>46620421</v>
      </c>
      <c r="E120" s="57">
        <v>47082010</v>
      </c>
      <c r="F120" s="57">
        <v>47543598</v>
      </c>
      <c r="G120" s="57">
        <v>48005186</v>
      </c>
      <c r="H120" s="122">
        <v>48466775</v>
      </c>
    </row>
    <row r="121" spans="2:13" ht="12.6" customHeight="1" x14ac:dyDescent="0.2">
      <c r="B121" s="4">
        <f t="shared" si="42"/>
        <v>6.2500000000000014E-2</v>
      </c>
      <c r="C121" s="161">
        <v>44312480</v>
      </c>
      <c r="D121" s="57">
        <v>44755604</v>
      </c>
      <c r="E121" s="57">
        <v>45198729</v>
      </c>
      <c r="F121" s="57">
        <v>45641854</v>
      </c>
      <c r="G121" s="57">
        <v>46084979</v>
      </c>
      <c r="H121" s="122">
        <v>46528104</v>
      </c>
    </row>
    <row r="122" spans="2:13" ht="12.6" customHeight="1" x14ac:dyDescent="0.15">
      <c r="B122" s="4">
        <f t="shared" si="42"/>
        <v>6.5000000000000016E-2</v>
      </c>
      <c r="C122" s="162">
        <v>42608154</v>
      </c>
      <c r="D122" s="163">
        <v>43034235</v>
      </c>
      <c r="E122" s="163">
        <v>43460317</v>
      </c>
      <c r="F122" s="163">
        <v>43886398</v>
      </c>
      <c r="G122" s="163">
        <v>44312480</v>
      </c>
      <c r="H122" s="164">
        <v>44738561</v>
      </c>
      <c r="I122" s="128"/>
    </row>
    <row r="123" spans="2:13" ht="12.6" customHeight="1" x14ac:dyDescent="0.15">
      <c r="C123" s="128"/>
      <c r="D123" s="128"/>
      <c r="E123" s="129"/>
      <c r="F123" s="128"/>
      <c r="G123" s="128"/>
      <c r="H123" s="129"/>
      <c r="I123" s="138"/>
    </row>
    <row r="124" spans="2:13" ht="12.6" customHeight="1" x14ac:dyDescent="0.2">
      <c r="J124" s="57"/>
    </row>
    <row r="125" spans="2:13" ht="12.6" customHeight="1" x14ac:dyDescent="0.2">
      <c r="J125" s="57"/>
    </row>
    <row r="128" spans="2:13" ht="12.6" customHeight="1" x14ac:dyDescent="0.3">
      <c r="B128" s="139"/>
      <c r="C128" s="139"/>
      <c r="D128" s="139"/>
      <c r="E128" s="140"/>
      <c r="F128" s="139"/>
      <c r="G128" s="139"/>
      <c r="H128" s="140"/>
      <c r="I128" s="141"/>
      <c r="J128" s="64"/>
    </row>
    <row r="129" spans="2:13" ht="12.6" customHeight="1" x14ac:dyDescent="0.3">
      <c r="B129" s="139"/>
      <c r="C129" s="139"/>
      <c r="D129" s="139"/>
      <c r="E129" s="139"/>
      <c r="F129" s="139"/>
      <c r="G129" s="139"/>
      <c r="H129" s="139"/>
      <c r="I129" s="139"/>
      <c r="J129" s="57"/>
    </row>
    <row r="130" spans="2:13" ht="12.6" customHeight="1" x14ac:dyDescent="0.3">
      <c r="B130" s="141"/>
      <c r="C130" s="142"/>
      <c r="D130" s="142"/>
      <c r="E130" s="142"/>
      <c r="F130" s="142"/>
      <c r="G130" s="142"/>
      <c r="H130" s="139"/>
      <c r="I130" s="139"/>
      <c r="J130" s="57"/>
    </row>
    <row r="131" spans="2:13" ht="12.6" customHeight="1" x14ac:dyDescent="0.3">
      <c r="B131" s="143"/>
      <c r="C131" s="144"/>
      <c r="D131" s="144"/>
      <c r="E131" s="144"/>
      <c r="F131" s="144"/>
      <c r="G131" s="144"/>
      <c r="H131" s="139"/>
      <c r="I131" s="139"/>
      <c r="J131" s="57"/>
    </row>
    <row r="132" spans="2:13" ht="12.6" customHeight="1" x14ac:dyDescent="0.3">
      <c r="B132" s="143"/>
      <c r="C132" s="144"/>
      <c r="D132" s="144"/>
      <c r="E132" s="144"/>
      <c r="F132" s="144"/>
      <c r="G132" s="144"/>
      <c r="H132" s="139"/>
      <c r="I132" s="139"/>
      <c r="J132" s="145"/>
      <c r="K132" s="139"/>
      <c r="L132" s="139"/>
      <c r="M132" s="137"/>
    </row>
    <row r="133" spans="2:13" ht="12.6" customHeight="1" x14ac:dyDescent="0.3">
      <c r="B133" s="146"/>
      <c r="C133" s="144"/>
      <c r="D133" s="144"/>
      <c r="E133" s="144"/>
      <c r="F133" s="144"/>
      <c r="G133" s="144"/>
      <c r="H133" s="139"/>
      <c r="I133" s="139"/>
      <c r="J133" s="145"/>
      <c r="K133" s="139"/>
      <c r="L133" s="139"/>
      <c r="M133" s="147"/>
    </row>
    <row r="134" spans="2:13" ht="12.6" customHeight="1" x14ac:dyDescent="0.3">
      <c r="B134" s="143"/>
      <c r="C134" s="144"/>
      <c r="D134" s="144"/>
      <c r="E134" s="144"/>
      <c r="F134" s="144"/>
      <c r="G134" s="144"/>
      <c r="H134" s="139"/>
      <c r="I134" s="139"/>
      <c r="J134" s="145"/>
      <c r="K134" s="139"/>
      <c r="L134" s="139"/>
      <c r="M134" s="147"/>
    </row>
    <row r="135" spans="2:13" ht="12.6" customHeight="1" x14ac:dyDescent="0.3">
      <c r="B135" s="143"/>
      <c r="C135" s="144"/>
      <c r="D135" s="144"/>
      <c r="E135" s="144"/>
      <c r="F135" s="144"/>
      <c r="G135" s="144"/>
      <c r="H135" s="139"/>
      <c r="I135" s="139"/>
      <c r="J135" s="145"/>
      <c r="K135" s="139"/>
      <c r="L135" s="139"/>
      <c r="M135" s="140"/>
    </row>
    <row r="136" spans="2:13" ht="12.6" customHeight="1" x14ac:dyDescent="0.3">
      <c r="J136" s="145"/>
      <c r="K136" s="139"/>
      <c r="L136" s="139"/>
      <c r="M136" s="147"/>
    </row>
    <row r="137" spans="2:13" ht="12.6" customHeight="1" x14ac:dyDescent="0.3">
      <c r="B137" s="145"/>
      <c r="C137" s="139"/>
      <c r="D137" s="139"/>
      <c r="E137" s="147"/>
      <c r="J137" s="139"/>
      <c r="K137" s="139"/>
      <c r="L137" s="139"/>
      <c r="M137" s="148"/>
    </row>
    <row r="138" spans="2:13" ht="12.6" customHeight="1" x14ac:dyDescent="0.3">
      <c r="B138" s="139"/>
      <c r="C138" s="139"/>
      <c r="D138" s="139"/>
      <c r="E138" s="148"/>
      <c r="J138" s="57"/>
    </row>
    <row r="139" spans="2:13" ht="12.6" customHeight="1" x14ac:dyDescent="0.2">
      <c r="J139" s="89"/>
    </row>
    <row r="140" spans="2:13" ht="12.6" customHeight="1" x14ac:dyDescent="0.15">
      <c r="B140" s="128"/>
      <c r="C140" s="128"/>
      <c r="D140" s="128"/>
      <c r="E140" s="128"/>
      <c r="F140" s="128"/>
      <c r="G140" s="128"/>
      <c r="H140" s="128"/>
      <c r="I140" s="128"/>
    </row>
    <row r="141" spans="2:13" ht="12.6" customHeight="1" x14ac:dyDescent="0.15">
      <c r="B141" s="128"/>
      <c r="C141" s="149"/>
      <c r="D141" s="149"/>
      <c r="E141" s="149"/>
      <c r="F141" s="149"/>
      <c r="G141" s="149"/>
      <c r="H141" s="128"/>
      <c r="I141" s="128"/>
    </row>
    <row r="142" spans="2:13" ht="12.6" customHeight="1" x14ac:dyDescent="0.15">
      <c r="B142" s="150"/>
      <c r="C142" s="136"/>
      <c r="D142" s="136"/>
      <c r="E142" s="136"/>
      <c r="F142" s="136"/>
      <c r="G142" s="136"/>
      <c r="H142" s="128"/>
      <c r="I142" s="128"/>
    </row>
    <row r="143" spans="2:13" ht="12.6" customHeight="1" x14ac:dyDescent="0.15">
      <c r="B143" s="150"/>
      <c r="C143" s="136"/>
      <c r="D143" s="136"/>
      <c r="E143" s="136"/>
      <c r="F143" s="136"/>
      <c r="G143" s="136"/>
      <c r="H143" s="128"/>
      <c r="I143" s="128"/>
    </row>
    <row r="144" spans="2:13" ht="12.6" customHeight="1" x14ac:dyDescent="0.15">
      <c r="B144" s="150"/>
      <c r="C144" s="136"/>
      <c r="D144" s="136"/>
      <c r="E144" s="136"/>
      <c r="F144" s="136"/>
      <c r="G144" s="136"/>
      <c r="H144" s="128"/>
      <c r="I144" s="128"/>
    </row>
    <row r="145" spans="2:9" ht="12.6" customHeight="1" x14ac:dyDescent="0.15">
      <c r="B145" s="150"/>
      <c r="C145" s="136"/>
      <c r="D145" s="136"/>
      <c r="E145" s="136"/>
      <c r="F145" s="136"/>
      <c r="G145" s="136"/>
      <c r="H145" s="128"/>
      <c r="I145" s="128"/>
    </row>
    <row r="146" spans="2:9" ht="12.6" customHeight="1" x14ac:dyDescent="0.15">
      <c r="B146" s="150"/>
      <c r="C146" s="136"/>
      <c r="D146" s="136"/>
      <c r="E146" s="136"/>
      <c r="F146" s="136"/>
      <c r="G146" s="136"/>
      <c r="H146" s="128"/>
      <c r="I146" s="128"/>
    </row>
    <row r="147" spans="2:9" ht="12.6" customHeight="1" x14ac:dyDescent="0.15">
      <c r="B147" s="131"/>
      <c r="C147" s="136"/>
      <c r="D147" s="136"/>
      <c r="E147" s="136"/>
      <c r="F147" s="136"/>
      <c r="G147" s="136"/>
      <c r="H147" s="128"/>
      <c r="I147" s="128"/>
    </row>
  </sheetData>
  <mergeCells count="2">
    <mergeCell ref="B2:D2"/>
    <mergeCell ref="E2:F2"/>
  </mergeCells>
  <pageMargins left="0.7" right="0.7" top="0.75" bottom="0.75" header="0.3" footer="0.3"/>
  <pageSetup paperSize="3" scale="4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DCF Model</vt:lpstr>
      <vt:lpstr>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Rackliff</dc:creator>
  <cp:lastModifiedBy>Yang, Daniel</cp:lastModifiedBy>
  <cp:lastPrinted>2025-11-14T02:49:42Z</cp:lastPrinted>
  <dcterms:created xsi:type="dcterms:W3CDTF">2025-10-13T13:49:44Z</dcterms:created>
  <dcterms:modified xsi:type="dcterms:W3CDTF">2025-11-14T05:29:05Z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es" linkTarget="prop_taxes">
    <vt:lpwstr>#REF!</vt:lpwstr>
  </property>
</Properties>
</file>