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yaleedu-my.sharepoint.com/personal/colton_peppelman_yale_edu/Documents/"/>
    </mc:Choice>
  </mc:AlternateContent>
  <xr:revisionPtr revIDLastSave="0" documentId="8_{C61B8850-9FEF-4B50-B362-223CD26F9133}" xr6:coauthVersionLast="47" xr6:coauthVersionMax="47" xr10:uidLastSave="{00000000-0000-0000-0000-000000000000}"/>
  <bookViews>
    <workbookView xWindow="-96" yWindow="-96" windowWidth="23232" windowHeight="13872" xr2:uid="{39749D36-0E54-49C9-8E32-3FEDA66F1FF5}"/>
  </bookViews>
  <sheets>
    <sheet name="Sheet1" sheetId="1" r:id="rId1"/>
  </sheets>
  <definedNames>
    <definedName name="_xlnm.Print_Area" localSheetId="0">Sheet1!$B$2:$L$206</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2" i="1" l="1"/>
  <c r="J162" i="1"/>
  <c r="I162" i="1"/>
  <c r="H162" i="1"/>
  <c r="G162" i="1"/>
  <c r="F162" i="1"/>
  <c r="K155" i="1"/>
  <c r="J155" i="1"/>
  <c r="I155" i="1"/>
  <c r="H155" i="1"/>
  <c r="G155" i="1"/>
  <c r="F155" i="1"/>
  <c r="K150" i="1"/>
  <c r="J150" i="1"/>
  <c r="I150" i="1"/>
  <c r="H150" i="1"/>
  <c r="G150" i="1"/>
  <c r="F150" i="1"/>
  <c r="K135" i="1"/>
  <c r="J135" i="1"/>
  <c r="I135" i="1"/>
  <c r="H135" i="1"/>
  <c r="G135" i="1"/>
  <c r="F135" i="1"/>
  <c r="D152" i="1"/>
  <c r="F136" i="1"/>
  <c r="D145" i="1"/>
  <c r="D137" i="1"/>
  <c r="D142" i="1" s="1"/>
  <c r="K120" i="1"/>
  <c r="J120" i="1"/>
  <c r="I120" i="1"/>
  <c r="H120" i="1"/>
  <c r="G120" i="1"/>
  <c r="F120" i="1"/>
  <c r="K117" i="1"/>
  <c r="J117" i="1"/>
  <c r="I117" i="1"/>
  <c r="H117" i="1"/>
  <c r="G117" i="1"/>
  <c r="F117" i="1"/>
  <c r="F121" i="1"/>
  <c r="D122" i="1"/>
  <c r="D130" i="1" s="1"/>
  <c r="B118" i="1"/>
  <c r="I114" i="1"/>
  <c r="D151" i="1" s="1"/>
  <c r="I113" i="1"/>
  <c r="D140" i="1" s="1"/>
  <c r="J112" i="1"/>
  <c r="D129" i="1" s="1"/>
  <c r="D112" i="1"/>
  <c r="D114" i="1" s="1"/>
  <c r="F137" i="1" l="1"/>
  <c r="F122" i="1"/>
  <c r="D126" i="1"/>
  <c r="D128" i="1"/>
  <c r="I112" i="1"/>
  <c r="D123" i="1" l="1"/>
  <c r="D124" i="1"/>
  <c r="F83" i="1" l="1"/>
  <c r="F85" i="1" s="1"/>
  <c r="F91" i="1"/>
  <c r="D101" i="1"/>
  <c r="D19" i="1"/>
  <c r="D15" i="1" s="1"/>
  <c r="D18" i="1" s="1"/>
  <c r="H79" i="1"/>
  <c r="I79" i="1"/>
  <c r="J79" i="1"/>
  <c r="K79" i="1"/>
  <c r="G79" i="1"/>
  <c r="F73" i="1"/>
  <c r="G73" i="1" s="1"/>
  <c r="H73" i="1" s="1"/>
  <c r="I73" i="1" s="1"/>
  <c r="J73" i="1" s="1"/>
  <c r="K73" i="1" s="1"/>
  <c r="L73" i="1" s="1"/>
  <c r="F68" i="1"/>
  <c r="G68" i="1" s="1"/>
  <c r="H68" i="1" s="1"/>
  <c r="I68" i="1" s="1"/>
  <c r="J68" i="1" s="1"/>
  <c r="K68" i="1" s="1"/>
  <c r="L68" i="1" s="1"/>
  <c r="F69" i="1"/>
  <c r="G69" i="1" s="1"/>
  <c r="H69" i="1" s="1"/>
  <c r="I69" i="1" s="1"/>
  <c r="J69" i="1" s="1"/>
  <c r="K69" i="1" s="1"/>
  <c r="L69" i="1" s="1"/>
  <c r="F70" i="1"/>
  <c r="G70" i="1" s="1"/>
  <c r="H70" i="1" s="1"/>
  <c r="I70" i="1" s="1"/>
  <c r="J70" i="1" s="1"/>
  <c r="K70" i="1" s="1"/>
  <c r="L70" i="1" s="1"/>
  <c r="F71" i="1"/>
  <c r="G71" i="1" s="1"/>
  <c r="H71" i="1" s="1"/>
  <c r="I71" i="1" s="1"/>
  <c r="J71" i="1" s="1"/>
  <c r="K71" i="1" s="1"/>
  <c r="L71" i="1" s="1"/>
  <c r="F67" i="1"/>
  <c r="G67" i="1" s="1"/>
  <c r="H67" i="1" s="1"/>
  <c r="I67" i="1" s="1"/>
  <c r="J67" i="1" s="1"/>
  <c r="K67" i="1" s="1"/>
  <c r="L67" i="1" s="1"/>
  <c r="H46" i="1"/>
  <c r="I46" i="1"/>
  <c r="J46" i="1"/>
  <c r="K46" i="1"/>
  <c r="L46" i="1"/>
  <c r="G46" i="1"/>
  <c r="B67" i="1"/>
  <c r="B68" i="1"/>
  <c r="B69" i="1"/>
  <c r="B70" i="1"/>
  <c r="B71" i="1"/>
  <c r="B72" i="1"/>
  <c r="B73" i="1"/>
  <c r="B66" i="1"/>
  <c r="G55" i="1"/>
  <c r="H55" i="1" s="1"/>
  <c r="F52" i="1"/>
  <c r="H14" i="1"/>
  <c r="D27" i="1"/>
  <c r="F27" i="1" s="1"/>
  <c r="D57" i="1" s="1"/>
  <c r="F57" i="1" s="1"/>
  <c r="G52" i="1" l="1"/>
  <c r="I55" i="1"/>
  <c r="H54" i="1"/>
  <c r="H57" i="1" s="1"/>
  <c r="G54" i="1"/>
  <c r="G57" i="1" s="1"/>
  <c r="D10" i="1"/>
  <c r="E27" i="1"/>
  <c r="H52" i="1" l="1"/>
  <c r="G96" i="1"/>
  <c r="G94" i="1"/>
  <c r="G95" i="1" s="1"/>
  <c r="G84" i="1"/>
  <c r="L24" i="1"/>
  <c r="D59" i="1" s="1"/>
  <c r="F59" i="1" s="1"/>
  <c r="H80" i="1"/>
  <c r="I80" i="1"/>
  <c r="J80" i="1"/>
  <c r="K80" i="1"/>
  <c r="G80" i="1"/>
  <c r="L9" i="1"/>
  <c r="L12" i="1" s="1"/>
  <c r="L13" i="1" s="1"/>
  <c r="J55" i="1"/>
  <c r="I54" i="1"/>
  <c r="I57" i="1" s="1"/>
  <c r="I52" i="1" l="1"/>
  <c r="H84" i="1"/>
  <c r="H94" i="1"/>
  <c r="H95" i="1" s="1"/>
  <c r="H96" i="1"/>
  <c r="L59" i="1"/>
  <c r="G59" i="1"/>
  <c r="K59" i="1"/>
  <c r="J59" i="1"/>
  <c r="I59" i="1"/>
  <c r="H59" i="1"/>
  <c r="F92" i="1"/>
  <c r="F93" i="1"/>
  <c r="D17" i="1"/>
  <c r="G24" i="1"/>
  <c r="H24" i="1" s="1"/>
  <c r="G23" i="1"/>
  <c r="G25" i="1"/>
  <c r="H25" i="1" s="1"/>
  <c r="G26" i="1"/>
  <c r="H26" i="1" s="1"/>
  <c r="F72" i="1"/>
  <c r="G72" i="1" s="1"/>
  <c r="H72" i="1" s="1"/>
  <c r="I72" i="1" s="1"/>
  <c r="J72" i="1" s="1"/>
  <c r="K72" i="1" s="1"/>
  <c r="J54" i="1"/>
  <c r="J57" i="1" s="1"/>
  <c r="K55" i="1"/>
  <c r="J52" i="1" l="1"/>
  <c r="I84" i="1"/>
  <c r="I94" i="1"/>
  <c r="I95" i="1" s="1"/>
  <c r="I96" i="1"/>
  <c r="F97" i="1"/>
  <c r="F118" i="1" s="1"/>
  <c r="H87" i="1"/>
  <c r="I87" i="1"/>
  <c r="J87" i="1"/>
  <c r="K87" i="1"/>
  <c r="G87" i="1"/>
  <c r="H23" i="1"/>
  <c r="H27" i="1" s="1"/>
  <c r="D58" i="1" s="1"/>
  <c r="F58" i="1" s="1"/>
  <c r="F61" i="1" s="1"/>
  <c r="F63" i="1" s="1"/>
  <c r="G27" i="1"/>
  <c r="K54" i="1"/>
  <c r="K57" i="1" s="1"/>
  <c r="L55" i="1"/>
  <c r="L54" i="1" s="1"/>
  <c r="L57" i="1" s="1"/>
  <c r="L72" i="1"/>
  <c r="F128" i="1" l="1"/>
  <c r="F124" i="1"/>
  <c r="F123" i="1"/>
  <c r="K52" i="1"/>
  <c r="J84" i="1"/>
  <c r="J94" i="1"/>
  <c r="J95" i="1" s="1"/>
  <c r="J96" i="1"/>
  <c r="F64" i="1"/>
  <c r="I58" i="1"/>
  <c r="K58" i="1"/>
  <c r="K60" i="1" s="1"/>
  <c r="H58" i="1"/>
  <c r="J58" i="1"/>
  <c r="L58" i="1"/>
  <c r="L60" i="1" s="1"/>
  <c r="G58" i="1"/>
  <c r="F139" i="1" l="1"/>
  <c r="F144" i="1"/>
  <c r="F159" i="1"/>
  <c r="F138" i="1"/>
  <c r="F166" i="1"/>
  <c r="F129" i="1"/>
  <c r="F126" i="1"/>
  <c r="F125" i="1"/>
  <c r="G121" i="1" s="1"/>
  <c r="G122" i="1" s="1"/>
  <c r="L52" i="1"/>
  <c r="K96" i="1"/>
  <c r="F66" i="1"/>
  <c r="F74" i="1" s="1"/>
  <c r="F77" i="1" s="1"/>
  <c r="D100" i="1" s="1"/>
  <c r="G60" i="1"/>
  <c r="G61" i="1" s="1"/>
  <c r="K61" i="1"/>
  <c r="K63" i="1" s="1"/>
  <c r="K64" i="1" s="1"/>
  <c r="J60" i="1"/>
  <c r="J61" i="1" s="1"/>
  <c r="H60" i="1"/>
  <c r="H61" i="1" s="1"/>
  <c r="I60" i="1"/>
  <c r="I61" i="1" s="1"/>
  <c r="I63" i="1" s="1"/>
  <c r="I64" i="1" s="1"/>
  <c r="L61" i="1"/>
  <c r="L63" i="1" s="1"/>
  <c r="L64" i="1" s="1"/>
  <c r="F130" i="1" l="1"/>
  <c r="F132" i="1"/>
  <c r="F133" i="1" s="1"/>
  <c r="K66" i="1"/>
  <c r="I66" i="1"/>
  <c r="I74" i="1" s="1"/>
  <c r="I75" i="1" s="1"/>
  <c r="L66" i="1"/>
  <c r="H63" i="1"/>
  <c r="H64" i="1" s="1"/>
  <c r="J63" i="1"/>
  <c r="J64" i="1" s="1"/>
  <c r="G63" i="1"/>
  <c r="G64" i="1" s="1"/>
  <c r="F140" i="1" l="1"/>
  <c r="F145" i="1" s="1"/>
  <c r="G66" i="1"/>
  <c r="G74" i="1" s="1"/>
  <c r="J66" i="1"/>
  <c r="J74" i="1" s="1"/>
  <c r="J75" i="1" s="1"/>
  <c r="H66" i="1"/>
  <c r="H74" i="1" s="1"/>
  <c r="H75" i="1" s="1"/>
  <c r="I77" i="1"/>
  <c r="I89" i="1" s="1"/>
  <c r="F147" i="1" l="1"/>
  <c r="F148" i="1" s="1"/>
  <c r="F142" i="1"/>
  <c r="F141" i="1"/>
  <c r="G136" i="1" s="1"/>
  <c r="G137" i="1" s="1"/>
  <c r="I81" i="1"/>
  <c r="G77" i="1"/>
  <c r="G89" i="1" s="1"/>
  <c r="G75" i="1"/>
  <c r="H77" i="1"/>
  <c r="J77" i="1"/>
  <c r="D104" i="1" s="1"/>
  <c r="L74" i="1"/>
  <c r="K74" i="1"/>
  <c r="K75" i="1" s="1"/>
  <c r="F152" i="1" l="1"/>
  <c r="F158" i="1" s="1"/>
  <c r="F151" i="1"/>
  <c r="I88" i="1"/>
  <c r="I97" i="1" s="1"/>
  <c r="I118" i="1" s="1"/>
  <c r="I85" i="1"/>
  <c r="J81" i="1"/>
  <c r="J85" i="1" s="1"/>
  <c r="J89" i="1"/>
  <c r="H81" i="1"/>
  <c r="H85" i="1" s="1"/>
  <c r="H89" i="1"/>
  <c r="G81" i="1"/>
  <c r="G85" i="1" s="1"/>
  <c r="L77" i="1"/>
  <c r="K84" i="1" s="1"/>
  <c r="L75" i="1"/>
  <c r="K77" i="1"/>
  <c r="K89" i="1" s="1"/>
  <c r="F153" i="1" l="1"/>
  <c r="F165" i="1"/>
  <c r="F160" i="1"/>
  <c r="I128" i="1"/>
  <c r="I123" i="1"/>
  <c r="J88" i="1"/>
  <c r="J97" i="1" s="1"/>
  <c r="J118" i="1" s="1"/>
  <c r="G88" i="1"/>
  <c r="G97" i="1" s="1"/>
  <c r="G118" i="1" s="1"/>
  <c r="H16" i="1"/>
  <c r="K94" i="1"/>
  <c r="K95" i="1" s="1"/>
  <c r="K81" i="1"/>
  <c r="H88" i="1"/>
  <c r="H97" i="1" s="1"/>
  <c r="H118" i="1" s="1"/>
  <c r="F167" i="1" l="1"/>
  <c r="I138" i="1"/>
  <c r="I166" i="1"/>
  <c r="I144" i="1"/>
  <c r="I159" i="1"/>
  <c r="G128" i="1"/>
  <c r="G123" i="1"/>
  <c r="G124" i="1"/>
  <c r="J128" i="1"/>
  <c r="J123" i="1"/>
  <c r="H128" i="1"/>
  <c r="H123" i="1"/>
  <c r="K88" i="1"/>
  <c r="K97" i="1" s="1"/>
  <c r="K85" i="1"/>
  <c r="D102" i="1" s="1"/>
  <c r="H138" i="1" l="1"/>
  <c r="H166" i="1"/>
  <c r="H144" i="1"/>
  <c r="H159" i="1"/>
  <c r="J138" i="1"/>
  <c r="J166" i="1"/>
  <c r="J144" i="1"/>
  <c r="J159" i="1"/>
  <c r="G139" i="1"/>
  <c r="G138" i="1"/>
  <c r="G166" i="1"/>
  <c r="G144" i="1"/>
  <c r="G159" i="1"/>
  <c r="G125" i="1"/>
  <c r="H121" i="1" s="1"/>
  <c r="G129" i="1"/>
  <c r="G126" i="1"/>
  <c r="G130" i="1"/>
  <c r="D105" i="1"/>
  <c r="K118" i="1"/>
  <c r="D103" i="1"/>
  <c r="D170" i="1" s="1"/>
  <c r="D99" i="1"/>
  <c r="G132" i="1" l="1"/>
  <c r="G133" i="1" s="1"/>
  <c r="G140" i="1" s="1"/>
  <c r="K128" i="1"/>
  <c r="K123" i="1"/>
  <c r="H122" i="1"/>
  <c r="H124" i="1" s="1"/>
  <c r="D106" i="1"/>
  <c r="D171" i="1" s="1"/>
  <c r="E113" i="1"/>
  <c r="E112" i="1"/>
  <c r="G145" i="1" l="1"/>
  <c r="H139" i="1"/>
  <c r="K138" i="1"/>
  <c r="K166" i="1"/>
  <c r="K144" i="1"/>
  <c r="K159" i="1"/>
  <c r="G142" i="1"/>
  <c r="G141" i="1"/>
  <c r="H136" i="1" s="1"/>
  <c r="H137" i="1" s="1"/>
  <c r="E114" i="1"/>
  <c r="H125" i="1"/>
  <c r="I121" i="1" s="1"/>
  <c r="H129" i="1"/>
  <c r="H126" i="1"/>
  <c r="G147" i="1" l="1"/>
  <c r="G148" i="1" s="1"/>
  <c r="H130" i="1"/>
  <c r="D159" i="1"/>
  <c r="D166" i="1"/>
  <c r="H132" i="1"/>
  <c r="H133" i="1" s="1"/>
  <c r="H140" i="1" s="1"/>
  <c r="I122" i="1"/>
  <c r="I124" i="1" s="1"/>
  <c r="I139" i="1" l="1"/>
  <c r="H145" i="1"/>
  <c r="G152" i="1"/>
  <c r="G158" i="1" s="1"/>
  <c r="G151" i="1"/>
  <c r="H142" i="1"/>
  <c r="H141" i="1"/>
  <c r="I136" i="1" s="1"/>
  <c r="I129" i="1"/>
  <c r="I126" i="1"/>
  <c r="I125" i="1"/>
  <c r="J121" i="1" s="1"/>
  <c r="I130" i="1" l="1"/>
  <c r="G153" i="1"/>
  <c r="G165" i="1"/>
  <c r="G160" i="1"/>
  <c r="H147" i="1"/>
  <c r="H148" i="1" s="1"/>
  <c r="I137" i="1"/>
  <c r="I132" i="1"/>
  <c r="I133" i="1" s="1"/>
  <c r="J122" i="1"/>
  <c r="J124" i="1" s="1"/>
  <c r="J139" i="1" l="1"/>
  <c r="H152" i="1"/>
  <c r="H158" i="1" s="1"/>
  <c r="H151" i="1"/>
  <c r="G167" i="1"/>
  <c r="I140" i="1"/>
  <c r="J125" i="1"/>
  <c r="K121" i="1" s="1"/>
  <c r="K122" i="1" s="1"/>
  <c r="K124" i="1" s="1"/>
  <c r="J129" i="1"/>
  <c r="J126" i="1"/>
  <c r="J130" i="1" l="1"/>
  <c r="K139" i="1"/>
  <c r="I145" i="1"/>
  <c r="H153" i="1"/>
  <c r="H165" i="1"/>
  <c r="H160" i="1"/>
  <c r="K125" i="1"/>
  <c r="I142" i="1"/>
  <c r="I141" i="1"/>
  <c r="J136" i="1" s="1"/>
  <c r="J132" i="1"/>
  <c r="J133" i="1" s="1"/>
  <c r="K129" i="1"/>
  <c r="K126" i="1"/>
  <c r="E126" i="1" s="1"/>
  <c r="K130" i="1" l="1"/>
  <c r="E130" i="1" s="1"/>
  <c r="H167" i="1"/>
  <c r="I147" i="1"/>
  <c r="I148" i="1" s="1"/>
  <c r="J137" i="1"/>
  <c r="J140" i="1" s="1"/>
  <c r="K132" i="1"/>
  <c r="K133" i="1" s="1"/>
  <c r="J145" i="1" l="1"/>
  <c r="I152" i="1"/>
  <c r="I158" i="1" s="1"/>
  <c r="I151" i="1"/>
  <c r="J142" i="1"/>
  <c r="J141" i="1"/>
  <c r="K136" i="1" s="1"/>
  <c r="J147" i="1" l="1"/>
  <c r="J148" i="1" s="1"/>
  <c r="I153" i="1"/>
  <c r="I165" i="1"/>
  <c r="I160" i="1"/>
  <c r="K137" i="1"/>
  <c r="K140" i="1" s="1"/>
  <c r="K141" i="1"/>
  <c r="J151" i="1" l="1"/>
  <c r="J152" i="1"/>
  <c r="J158" i="1" s="1"/>
  <c r="I167" i="1"/>
  <c r="K142" i="1"/>
  <c r="E142" i="1" s="1"/>
  <c r="K145" i="1"/>
  <c r="J153" i="1" l="1"/>
  <c r="J165" i="1"/>
  <c r="K147" i="1"/>
  <c r="K148" i="1" s="1"/>
  <c r="J160" i="1"/>
  <c r="K151" i="1" l="1"/>
  <c r="K152" i="1"/>
  <c r="K158" i="1" s="1"/>
  <c r="J167" i="1"/>
  <c r="K160" i="1" l="1"/>
  <c r="D158" i="1"/>
  <c r="D157" i="1" s="1"/>
  <c r="K153" i="1"/>
  <c r="K165" i="1"/>
  <c r="K167" i="1" l="1"/>
  <c r="D165" i="1"/>
  <c r="D164" i="1" s="1"/>
  <c r="D156" i="1"/>
  <c r="D160" i="1"/>
  <c r="D167" i="1" l="1"/>
  <c r="D16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tc={2098E258-44D9-4C68-A4FA-275EC1A84283}</author>
    <author>tc={DDE2918A-505E-4118-B7AB-FBCBAC49B69D}</author>
  </authors>
  <commentList>
    <comment ref="D18" authorId="0" shapeId="0" xr:uid="{2098E258-44D9-4C68-A4FA-275EC1A84283}">
      <text>
        <t xml:space="preserve">[Threaded comment]
Your version of Excel allows you to read this threaded comment; however, any edits to it will get removed if the file is opened in a newer version of Excel. Learn more: https://go.microsoft.com/fwlink/?linkid=870924
Comment:
    Assumes 1.5% debt cost and closing costs. </t>
      </text>
    </comment>
    <comment ref="F63" authorId="1" shapeId="0" xr:uid="{DDE2918A-505E-4118-B7AB-FBCBAC49B69D}">
      <text>
        <t>[Threaded comment]
Your version of Excel allows you to read this threaded comment; however, any edits to it will get removed if the file is opened in a newer version of Excel. Learn more: https://go.microsoft.com/fwlink/?linkid=870924
Comment:
    Assumes 92.5% occupancy in year 0</t>
      </text>
    </comment>
  </commentList>
</comments>
</file>

<file path=xl/sharedStrings.xml><?xml version="1.0" encoding="utf-8"?>
<sst xmlns="http://schemas.openxmlformats.org/spreadsheetml/2006/main" count="181" uniqueCount="140">
  <si>
    <t>BlackRock Real Estate Acquisitions Excel Test - Associate Level</t>
  </si>
  <si>
    <t>Name:</t>
  </si>
  <si>
    <t>Colton Peppelman</t>
  </si>
  <si>
    <t xml:space="preserve">Date: </t>
  </si>
  <si>
    <t>December 11th, 2024</t>
  </si>
  <si>
    <t>ASSUMPTIONS AND INPUTS</t>
  </si>
  <si>
    <t>Property Overview</t>
  </si>
  <si>
    <t>Acquisition Assumptions</t>
  </si>
  <si>
    <t>Capital Expenditures</t>
  </si>
  <si>
    <t>Type</t>
  </si>
  <si>
    <t>Multifamily</t>
  </si>
  <si>
    <t>Acquisition Date</t>
  </si>
  <si>
    <t>Unrennovated Units</t>
  </si>
  <si>
    <t xml:space="preserve">Units </t>
  </si>
  <si>
    <t>Hold Period</t>
  </si>
  <si>
    <t>Cost/Unit</t>
  </si>
  <si>
    <t>Location</t>
  </si>
  <si>
    <t>Los Angeles</t>
  </si>
  <si>
    <t>Purchase Price</t>
  </si>
  <si>
    <t>ROI</t>
  </si>
  <si>
    <t>Total Cost</t>
  </si>
  <si>
    <t>Financing Assumptions</t>
  </si>
  <si>
    <t>Exit Assumptions</t>
  </si>
  <si>
    <t>Rent Premium</t>
  </si>
  <si>
    <t>Loan to Value</t>
  </si>
  <si>
    <t>Exit Date</t>
  </si>
  <si>
    <t>Loan Amount ($)</t>
  </si>
  <si>
    <t>Exit Cap Rate</t>
  </si>
  <si>
    <t>Capital Reserves</t>
  </si>
  <si>
    <t>Interest Rate</t>
  </si>
  <si>
    <t>Sale Price</t>
  </si>
  <si>
    <t>Per Unit / Year</t>
  </si>
  <si>
    <t>Interest Payment</t>
  </si>
  <si>
    <t>Sales Costs</t>
  </si>
  <si>
    <t>Debt Cost</t>
  </si>
  <si>
    <t>Closing Cost</t>
  </si>
  <si>
    <t>Unit Data</t>
  </si>
  <si>
    <t>Other Income</t>
  </si>
  <si>
    <t>Unit Type</t>
  </si>
  <si>
    <t>Units</t>
  </si>
  <si>
    <t>Sq. Ft.</t>
  </si>
  <si>
    <t>Current Rent</t>
  </si>
  <si>
    <t>Renovated Rent</t>
  </si>
  <si>
    <t>Other Income (per month)</t>
  </si>
  <si>
    <t>Studio</t>
  </si>
  <si>
    <t>Recoverable Expenses (per month)</t>
  </si>
  <si>
    <t>1 Bed / 1 Bath</t>
  </si>
  <si>
    <t>Total Other Income</t>
  </si>
  <si>
    <t>2 Bed / 2 Bath</t>
  </si>
  <si>
    <t>3 Bed / 2 Bath</t>
  </si>
  <si>
    <t xml:space="preserve">Total Weighted Avg. </t>
  </si>
  <si>
    <t>DRIVERS</t>
  </si>
  <si>
    <t>Year 0</t>
  </si>
  <si>
    <t>Year 1</t>
  </si>
  <si>
    <t>Year 2</t>
  </si>
  <si>
    <t>Year 3</t>
  </si>
  <si>
    <t>Year 4</t>
  </si>
  <si>
    <t>Year 5</t>
  </si>
  <si>
    <t>Year 6</t>
  </si>
  <si>
    <t>Occupancy</t>
  </si>
  <si>
    <t>Revenue Growth</t>
  </si>
  <si>
    <t>Expense Growth</t>
  </si>
  <si>
    <t>Management Fees</t>
  </si>
  <si>
    <t>Payroll</t>
  </si>
  <si>
    <t>Marketing &amp; Promotion</t>
  </si>
  <si>
    <t>General &amp; Administrative</t>
  </si>
  <si>
    <t>Utilities</t>
  </si>
  <si>
    <t>Repairs &amp; Maintenance</t>
  </si>
  <si>
    <t>Property Taxes</t>
  </si>
  <si>
    <t>Insurance</t>
  </si>
  <si>
    <t>Units Renovated</t>
  </si>
  <si>
    <t>CapEx</t>
  </si>
  <si>
    <t>MODEL</t>
  </si>
  <si>
    <t>Existing</t>
  </si>
  <si>
    <t>Historicals</t>
  </si>
  <si>
    <t>Unrenovated Units</t>
  </si>
  <si>
    <t>Renovated Units</t>
  </si>
  <si>
    <t>Unrenovated Rent</t>
  </si>
  <si>
    <t>Potential Gross Income</t>
  </si>
  <si>
    <t>Less: Vacancy</t>
  </si>
  <si>
    <t>Effective Gross Income</t>
  </si>
  <si>
    <t>Total OpEx</t>
  </si>
  <si>
    <t>OpEx Margin</t>
  </si>
  <si>
    <t>NOI</t>
  </si>
  <si>
    <t>Renovation Costs</t>
  </si>
  <si>
    <t>Total Capital Reserves</t>
  </si>
  <si>
    <t>Cash Flow After Capital Expenditures</t>
  </si>
  <si>
    <t>Less Purchase Price</t>
  </si>
  <si>
    <t>Plus: Sale Proceeds</t>
  </si>
  <si>
    <t>Unlevered Cash Flow</t>
  </si>
  <si>
    <t>Less: Debt Service</t>
  </si>
  <si>
    <t>Cash Flow After Debt Service</t>
  </si>
  <si>
    <t>DSCR</t>
  </si>
  <si>
    <t>Plus: Debt Funding</t>
  </si>
  <si>
    <t>Less Debt/Equity Closing Costs</t>
  </si>
  <si>
    <t>Less: Sale Closing Costs</t>
  </si>
  <si>
    <t>Less: Debt Repayment</t>
  </si>
  <si>
    <t>Levered Cash Flow</t>
  </si>
  <si>
    <t>Peak Equity</t>
  </si>
  <si>
    <t>Going-In Cap Rate</t>
  </si>
  <si>
    <t>Unlevered IRR</t>
  </si>
  <si>
    <t>Levered IRR</t>
  </si>
  <si>
    <t>Stabilized ROC-Year 4</t>
  </si>
  <si>
    <t>Profit</t>
  </si>
  <si>
    <t>Equity Multiple</t>
  </si>
  <si>
    <t>JV WATERFALL ANALYSIS</t>
  </si>
  <si>
    <t>Investment Structure</t>
  </si>
  <si>
    <t>% Total</t>
  </si>
  <si>
    <t>$ Amount</t>
  </si>
  <si>
    <t>Promote Structure</t>
  </si>
  <si>
    <t>LP</t>
  </si>
  <si>
    <t>GP</t>
  </si>
  <si>
    <t>% IRR Hurdle</t>
  </si>
  <si>
    <t>BlackRock</t>
  </si>
  <si>
    <t>Hurdle 1</t>
  </si>
  <si>
    <t>Operator</t>
  </si>
  <si>
    <t>Hurdle 2</t>
  </si>
  <si>
    <t>Total Equity</t>
  </si>
  <si>
    <t>Hurdle 3</t>
  </si>
  <si>
    <t>Hurdle 1 | Return of Capital &amp; Preferred Return</t>
  </si>
  <si>
    <t>Beginning Balance</t>
  </si>
  <si>
    <t>LP Req'd Return</t>
  </si>
  <si>
    <t>Contributions from LP</t>
  </si>
  <si>
    <t>Distributions to LP</t>
  </si>
  <si>
    <t>Ending Balance</t>
  </si>
  <si>
    <t>LP IRR Error Check</t>
  </si>
  <si>
    <t>Contributions From GP</t>
  </si>
  <si>
    <t>Distributions to GP</t>
  </si>
  <si>
    <t>Sponsor IRR Error Check</t>
  </si>
  <si>
    <t>Total Distributions</t>
  </si>
  <si>
    <t>Cash Flow Remaining</t>
  </si>
  <si>
    <t>Prior Distributions</t>
  </si>
  <si>
    <t>Operator Level</t>
  </si>
  <si>
    <t>Total</t>
  </si>
  <si>
    <t>Distributions</t>
  </si>
  <si>
    <t>Contributions</t>
  </si>
  <si>
    <t>Net Cash Flow</t>
  </si>
  <si>
    <t>BlackRock Level</t>
  </si>
  <si>
    <t>Project Level</t>
  </si>
  <si>
    <t>EXECUTIVE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</si>
</sst>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_(&quot;$&quot;* #,##0_);_(&quot;$&quot;* \(#,##0\);_(&quot;$&quot;* &quot;-&quot;??_);_(@_)"/>
    <numFmt numFmtId="166" formatCode="0.000%"/>
    <numFmt numFmtId="167" formatCode="0.0\x;\(0.0\x\);&quot;–&quot;"/>
    <numFmt numFmtId="168" formatCode="0.00\x;\(0.00\x\);&quot;–&quot;"/>
  </numFmts>
  <fonts count="11">
    <font>
      <sz val="11"/>
      <color theme="1"/>
      <name val="Aptos Narrow"/>
      <family val="2"/>
      <scheme val="minor"/>
    </font>
    <font>
      <sz val="11"/>
      <color theme="1"/>
      <name val="Aptos Narrow"/>
      <family val="2"/>
      <scheme val="minor"/>
    </font>
    <font>
      <sz val="8"/>
      <name val="Aptos Narrow"/>
      <family val="2"/>
      <scheme val="minor"/>
    </font>
    <font>
      <sz val="10"/>
      <color theme="1"/>
      <name val="Arial"/>
      <family val="2"/>
    </font>
    <font>
      <b/>
      <sz val="10"/>
      <color theme="1"/>
      <name val="Arial"/>
      <family val="2"/>
    </font>
    <font>
      <sz val="10"/>
      <color rgb="FF0000FF"/>
      <name val="Arial"/>
      <family val="2"/>
    </font>
    <font>
      <u/>
      <sz val="10"/>
      <color theme="1"/>
      <name val="Arial"/>
      <family val="2"/>
    </font>
    <font>
      <b/>
      <sz val="10"/>
      <color theme="0"/>
      <name val="Arial"/>
      <family val="2"/>
    </font>
    <font>
      <sz val="10"/>
      <color theme="0"/>
      <name val="Arial"/>
      <family val="2"/>
    </font>
    <font>
      <sz val="10"/>
      <name val="Arial"/>
      <family val="2"/>
    </font>
    <font>
      <i/>
      <sz val="10"/>
      <color theme="1"/>
      <name val="Arial"/>
      <family val="2"/>
    </font>
  </fonts>
  <fills count="6">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
      <patternFill patternType="solid">
        <fgColor theme="3" tint="9.9978637043366805E-2"/>
        <bgColor indexed="64"/>
      </patternFill>
    </fill>
    <fill>
      <patternFill patternType="solid">
        <fgColor theme="9" tint="0.79998168889431442"/>
        <bgColor indexed="64"/>
      </patternFill>
    </fill>
  </fills>
  <borders count="11">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85">
    <xf numFmtId="0" fontId="0" fillId="0" borderId="0" xfId="0"/>
    <xf numFmtId="0" fontId="3" fillId="0" borderId="0" xfId="0" applyFont="1"/>
    <xf numFmtId="0" fontId="4" fillId="0" borderId="0" xfId="0" applyFont="1"/>
    <xf numFmtId="0" fontId="5" fillId="2" borderId="0" xfId="0" applyFont="1" applyFill="1" applyAlignment="1">
      <alignment horizontal="right"/>
    </xf>
    <xf numFmtId="0" fontId="3" fillId="0" borderId="0" xfId="0" applyFont="1" applyAlignment="1">
      <alignment horizontal="right"/>
    </xf>
    <xf numFmtId="165" fontId="3" fillId="0" borderId="0" xfId="0" applyNumberFormat="1" applyFont="1"/>
    <xf numFmtId="0" fontId="5" fillId="2" borderId="0" xfId="0" applyFont="1" applyFill="1"/>
    <xf numFmtId="44" fontId="5" fillId="2" borderId="0" xfId="2" applyFont="1" applyFill="1"/>
    <xf numFmtId="0" fontId="3" fillId="0" borderId="1" xfId="0" applyFont="1" applyBorder="1"/>
    <xf numFmtId="0" fontId="4" fillId="0" borderId="0" xfId="0" applyFont="1" applyAlignment="1">
      <alignment horizontal="center"/>
    </xf>
    <xf numFmtId="164" fontId="5" fillId="2" borderId="0" xfId="0" applyNumberFormat="1" applyFont="1" applyFill="1"/>
    <xf numFmtId="0" fontId="3" fillId="0" borderId="0" xfId="0" applyFont="1" applyAlignment="1">
      <alignment horizontal="left" indent="2"/>
    </xf>
    <xf numFmtId="165" fontId="5" fillId="2" borderId="0" xfId="2" applyNumberFormat="1" applyFont="1" applyFill="1"/>
    <xf numFmtId="0" fontId="6" fillId="0" borderId="0" xfId="0" applyFont="1" applyAlignment="1">
      <alignment horizontal="center"/>
    </xf>
    <xf numFmtId="14" fontId="6" fillId="0" borderId="0" xfId="0" applyNumberFormat="1" applyFont="1" applyAlignment="1">
      <alignment horizontal="center"/>
    </xf>
    <xf numFmtId="165" fontId="3" fillId="0" borderId="0" xfId="2" applyNumberFormat="1" applyFont="1"/>
    <xf numFmtId="165" fontId="3" fillId="0" borderId="1" xfId="2" applyNumberFormat="1" applyFont="1" applyBorder="1"/>
    <xf numFmtId="165" fontId="4" fillId="0" borderId="0" xfId="2" applyNumberFormat="1" applyFont="1"/>
    <xf numFmtId="0" fontId="3" fillId="0" borderId="0" xfId="0" applyFont="1" applyAlignment="1">
      <alignment horizontal="left"/>
    </xf>
    <xf numFmtId="10" fontId="5" fillId="2" borderId="0" xfId="0" applyNumberFormat="1" applyFont="1" applyFill="1"/>
    <xf numFmtId="166" fontId="5" fillId="2" borderId="0" xfId="0" applyNumberFormat="1" applyFont="1" applyFill="1"/>
    <xf numFmtId="0" fontId="3" fillId="0" borderId="1" xfId="0" applyFont="1" applyBorder="1" applyAlignment="1">
      <alignment horizontal="left"/>
    </xf>
    <xf numFmtId="0" fontId="4" fillId="0" borderId="0" xfId="0" applyFont="1" applyAlignment="1">
      <alignment horizontal="left"/>
    </xf>
    <xf numFmtId="0" fontId="4" fillId="0" borderId="2" xfId="0" applyFont="1" applyBorder="1" applyAlignment="1">
      <alignment horizontal="left"/>
    </xf>
    <xf numFmtId="0" fontId="4" fillId="0" borderId="2" xfId="0" applyFont="1" applyBorder="1"/>
    <xf numFmtId="165" fontId="4" fillId="0" borderId="2" xfId="2" applyNumberFormat="1" applyFont="1" applyBorder="1"/>
    <xf numFmtId="9" fontId="3" fillId="0" borderId="0" xfId="0" applyNumberFormat="1" applyFont="1"/>
    <xf numFmtId="9" fontId="5" fillId="2" borderId="0" xfId="0" applyNumberFormat="1" applyFont="1" applyFill="1"/>
    <xf numFmtId="10" fontId="5" fillId="2" borderId="0" xfId="0" applyNumberFormat="1" applyFont="1" applyFill="1" applyAlignment="1">
      <alignment horizontal="right"/>
    </xf>
    <xf numFmtId="14" fontId="5" fillId="2" borderId="0" xfId="0" applyNumberFormat="1" applyFont="1" applyFill="1"/>
    <xf numFmtId="0" fontId="7" fillId="4" borderId="0" xfId="0" applyFont="1" applyFill="1"/>
    <xf numFmtId="0" fontId="8" fillId="4" borderId="0" xfId="0" applyFont="1" applyFill="1"/>
    <xf numFmtId="0" fontId="4" fillId="3" borderId="2" xfId="0" applyFont="1" applyFill="1" applyBorder="1"/>
    <xf numFmtId="165" fontId="5" fillId="2" borderId="1" xfId="2" applyNumberFormat="1" applyFont="1" applyFill="1" applyBorder="1"/>
    <xf numFmtId="44" fontId="3" fillId="0" borderId="0" xfId="0" applyNumberFormat="1" applyFont="1"/>
    <xf numFmtId="165" fontId="4" fillId="0" borderId="2" xfId="0" applyNumberFormat="1" applyFont="1" applyBorder="1"/>
    <xf numFmtId="0" fontId="4" fillId="5" borderId="3" xfId="0" applyFont="1" applyFill="1" applyBorder="1" applyAlignment="1">
      <alignment horizontal="left"/>
    </xf>
    <xf numFmtId="0" fontId="3" fillId="5" borderId="4" xfId="0" applyFont="1" applyFill="1" applyBorder="1"/>
    <xf numFmtId="165" fontId="4" fillId="5" borderId="5" xfId="2" applyNumberFormat="1" applyFont="1" applyFill="1" applyBorder="1"/>
    <xf numFmtId="0" fontId="4" fillId="5" borderId="6" xfId="0" applyFont="1" applyFill="1" applyBorder="1"/>
    <xf numFmtId="0" fontId="3" fillId="5" borderId="0" xfId="0" applyFont="1" applyFill="1"/>
    <xf numFmtId="10" fontId="4" fillId="5" borderId="7" xfId="3" applyNumberFormat="1" applyFont="1" applyFill="1" applyBorder="1"/>
    <xf numFmtId="0" fontId="4" fillId="5" borderId="6" xfId="0" applyFont="1" applyFill="1" applyBorder="1" applyAlignment="1">
      <alignment horizontal="left"/>
    </xf>
    <xf numFmtId="165" fontId="4" fillId="5" borderId="7" xfId="0" applyNumberFormat="1" applyFont="1" applyFill="1" applyBorder="1"/>
    <xf numFmtId="0" fontId="4" fillId="5" borderId="8" xfId="0" applyFont="1" applyFill="1" applyBorder="1"/>
    <xf numFmtId="0" fontId="3" fillId="5" borderId="1" xfId="0" applyFont="1" applyFill="1" applyBorder="1"/>
    <xf numFmtId="9" fontId="3" fillId="0" borderId="1" xfId="0" applyNumberFormat="1" applyFont="1" applyBorder="1"/>
    <xf numFmtId="0" fontId="4" fillId="0" borderId="2" xfId="0" applyFont="1" applyBorder="1" applyAlignment="1">
      <alignment horizontal="center"/>
    </xf>
    <xf numFmtId="0" fontId="5" fillId="2" borderId="0" xfId="0" applyFont="1" applyFill="1" applyAlignment="1">
      <alignment horizontal="center"/>
    </xf>
    <xf numFmtId="0" fontId="5" fillId="2" borderId="1" xfId="0" applyFont="1" applyFill="1" applyBorder="1" applyAlignment="1">
      <alignment horizontal="center"/>
    </xf>
    <xf numFmtId="165" fontId="3" fillId="0" borderId="0" xfId="2" applyNumberFormat="1" applyFont="1" applyBorder="1"/>
    <xf numFmtId="44" fontId="5" fillId="2" borderId="1" xfId="2" applyFont="1" applyFill="1" applyBorder="1"/>
    <xf numFmtId="165" fontId="5" fillId="2" borderId="0" xfId="0" applyNumberFormat="1" applyFont="1" applyFill="1" applyAlignment="1">
      <alignment horizontal="right"/>
    </xf>
    <xf numFmtId="165" fontId="4" fillId="0" borderId="0" xfId="2" applyNumberFormat="1" applyFont="1" applyBorder="1"/>
    <xf numFmtId="9" fontId="4" fillId="0" borderId="0" xfId="3" applyFont="1"/>
    <xf numFmtId="165" fontId="3" fillId="0" borderId="1" xfId="0" applyNumberFormat="1" applyFont="1" applyBorder="1"/>
    <xf numFmtId="165" fontId="4" fillId="0" borderId="4" xfId="2" applyNumberFormat="1" applyFont="1" applyBorder="1"/>
    <xf numFmtId="167" fontId="4" fillId="0" borderId="4" xfId="0" applyNumberFormat="1" applyFont="1" applyBorder="1"/>
    <xf numFmtId="1" fontId="4" fillId="0" borderId="0" xfId="1" applyNumberFormat="1" applyFont="1" applyAlignment="1">
      <alignment horizontal="center"/>
    </xf>
    <xf numFmtId="165" fontId="5" fillId="2" borderId="0" xfId="2" applyNumberFormat="1" applyFont="1" applyFill="1" applyAlignment="1">
      <alignment horizontal="center"/>
    </xf>
    <xf numFmtId="165" fontId="3" fillId="0" borderId="0" xfId="2" applyNumberFormat="1" applyFont="1" applyAlignment="1">
      <alignment horizontal="center"/>
    </xf>
    <xf numFmtId="165" fontId="5" fillId="2" borderId="1" xfId="2" applyNumberFormat="1" applyFont="1" applyFill="1" applyBorder="1" applyAlignment="1">
      <alignment horizontal="center"/>
    </xf>
    <xf numFmtId="165" fontId="3" fillId="0" borderId="1" xfId="2" applyNumberFormat="1" applyFont="1" applyBorder="1" applyAlignment="1">
      <alignment horizontal="center"/>
    </xf>
    <xf numFmtId="165" fontId="4" fillId="0" borderId="0" xfId="2" applyNumberFormat="1" applyFont="1" applyAlignment="1">
      <alignment horizontal="center"/>
    </xf>
    <xf numFmtId="165" fontId="5" fillId="0" borderId="0" xfId="2" applyNumberFormat="1" applyFont="1" applyFill="1"/>
    <xf numFmtId="0" fontId="3" fillId="0" borderId="1" xfId="0" applyFont="1" applyBorder="1" applyAlignment="1">
      <alignment horizontal="center"/>
    </xf>
    <xf numFmtId="9" fontId="9" fillId="0" borderId="0" xfId="0" applyNumberFormat="1" applyFont="1" applyAlignment="1">
      <alignment horizontal="center"/>
    </xf>
    <xf numFmtId="9" fontId="3" fillId="0" borderId="0" xfId="0" applyNumberFormat="1" applyFont="1" applyAlignment="1">
      <alignment horizontal="center"/>
    </xf>
    <xf numFmtId="9" fontId="5" fillId="2" borderId="1" xfId="0" applyNumberFormat="1" applyFont="1" applyFill="1" applyBorder="1" applyAlignment="1">
      <alignment horizontal="center"/>
    </xf>
    <xf numFmtId="9" fontId="3" fillId="0" borderId="0" xfId="0" applyNumberFormat="1" applyFont="1" applyAlignment="1">
      <alignment horizontal="right"/>
    </xf>
    <xf numFmtId="9" fontId="5" fillId="2" borderId="10" xfId="0" applyNumberFormat="1" applyFont="1" applyFill="1" applyBorder="1" applyAlignment="1">
      <alignment horizontal="center"/>
    </xf>
    <xf numFmtId="9" fontId="5" fillId="0" borderId="10" xfId="0" applyNumberFormat="1" applyFont="1" applyBorder="1" applyAlignment="1">
      <alignment horizontal="center"/>
    </xf>
    <xf numFmtId="9" fontId="9" fillId="0" borderId="10" xfId="0" applyNumberFormat="1" applyFont="1" applyBorder="1" applyAlignment="1">
      <alignment horizontal="center"/>
    </xf>
    <xf numFmtId="168" fontId="4" fillId="5" borderId="9" xfId="0" applyNumberFormat="1" applyFont="1" applyFill="1" applyBorder="1"/>
    <xf numFmtId="0" fontId="5" fillId="2" borderId="1" xfId="0" applyFont="1" applyFill="1" applyBorder="1"/>
    <xf numFmtId="0" fontId="4" fillId="0" borderId="1" xfId="0" applyFont="1" applyBorder="1"/>
    <xf numFmtId="0" fontId="4" fillId="0" borderId="1" xfId="0" applyFont="1" applyBorder="1" applyAlignment="1">
      <alignment horizontal="center"/>
    </xf>
    <xf numFmtId="165" fontId="3" fillId="0" borderId="0" xfId="0" applyNumberFormat="1" applyFont="1" applyAlignment="1">
      <alignment horizontal="center"/>
    </xf>
    <xf numFmtId="9" fontId="4" fillId="0" borderId="1" xfId="0" applyNumberFormat="1" applyFont="1" applyBorder="1" applyAlignment="1">
      <alignment horizontal="center"/>
    </xf>
    <xf numFmtId="10" fontId="4" fillId="0" borderId="0" xfId="0" applyNumberFormat="1" applyFont="1" applyAlignment="1">
      <alignment horizontal="right"/>
    </xf>
    <xf numFmtId="168" fontId="4" fillId="0" borderId="0" xfId="0" applyNumberFormat="1" applyFont="1" applyAlignment="1">
      <alignment horizontal="right"/>
    </xf>
    <xf numFmtId="10" fontId="4" fillId="0" borderId="0" xfId="0" applyNumberFormat="1" applyFont="1"/>
    <xf numFmtId="168" fontId="4" fillId="0" borderId="0" xfId="0" applyNumberFormat="1" applyFont="1"/>
    <xf numFmtId="9" fontId="10" fillId="0" borderId="0" xfId="0" applyNumberFormat="1" applyFont="1" applyAlignment="1">
      <alignment horizontal="center"/>
    </xf>
    <xf numFmtId="0" fontId="3" fillId="0" borderId="0" xfId="0" applyFont="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774807</xdr:colOff>
      <xdr:row>2</xdr:row>
      <xdr:rowOff>8235</xdr:rowOff>
    </xdr:from>
    <xdr:to>
      <xdr:col>11</xdr:col>
      <xdr:colOff>967365</xdr:colOff>
      <xdr:row>4</xdr:row>
      <xdr:rowOff>24</xdr:rowOff>
    </xdr:to>
    <xdr:pic>
      <xdr:nvPicPr>
        <xdr:cNvPr id="2" name="Picture 1">
          <a:extLst>
            <a:ext uri="{FF2B5EF4-FFF2-40B4-BE49-F238E27FC236}">
              <a16:creationId xmlns:a16="http://schemas.microsoft.com/office/drawing/2014/main" id="{F3E074F9-5332-5AB4-91CF-7CEFC5CDD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8455" y="358133"/>
          <a:ext cx="2372034" cy="3385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38101</xdr:colOff>
      <xdr:row>175</xdr:row>
      <xdr:rowOff>2</xdr:rowOff>
    </xdr:from>
    <xdr:to>
      <xdr:col>11</xdr:col>
      <xdr:colOff>1002631</xdr:colOff>
      <xdr:row>205</xdr:row>
      <xdr:rowOff>22088</xdr:rowOff>
    </xdr:to>
    <xdr:sp macro="" textlink="">
      <xdr:nvSpPr>
        <xdr:cNvPr id="3" name="TextBox 2">
          <a:extLst>
            <a:ext uri="{FF2B5EF4-FFF2-40B4-BE49-F238E27FC236}">
              <a16:creationId xmlns:a16="http://schemas.microsoft.com/office/drawing/2014/main" id="{20C3050C-3365-0472-A2EF-A4D580988A99}"/>
            </a:ext>
          </a:extLst>
        </xdr:cNvPr>
        <xdr:cNvSpPr txBox="1"/>
      </xdr:nvSpPr>
      <xdr:spPr>
        <a:xfrm>
          <a:off x="264492" y="30921741"/>
          <a:ext cx="10793226" cy="53229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Arial" panose="020B0604020202020204" pitchFamily="34" charset="0"/>
              <a:ea typeface="+mn-ea"/>
              <a:cs typeface="Arial" panose="020B0604020202020204" pitchFamily="34" charset="0"/>
            </a:rPr>
            <a:t>BlackRock has identified a promising value-add investment opportunity in Los Angeles, CA. The 132-unit multifamily complex is located in a vibrant submarket with demonstrated renter growth. This</a:t>
          </a:r>
          <a:r>
            <a:rPr lang="en-US" sz="1200" baseline="0">
              <a:solidFill>
                <a:schemeClr val="dk1"/>
              </a:solidFill>
              <a:effectLst/>
              <a:latin typeface="Arial" panose="020B0604020202020204" pitchFamily="34" charset="0"/>
              <a:ea typeface="+mn-ea"/>
              <a:cs typeface="Arial" panose="020B0604020202020204" pitchFamily="34" charset="0"/>
            </a:rPr>
            <a:t> p</a:t>
          </a:r>
          <a:r>
            <a:rPr lang="en-US" sz="1200">
              <a:solidFill>
                <a:schemeClr val="dk1"/>
              </a:solidFill>
              <a:effectLst/>
              <a:latin typeface="Arial" panose="020B0604020202020204" pitchFamily="34" charset="0"/>
              <a:ea typeface="+mn-ea"/>
              <a:cs typeface="Arial" panose="020B0604020202020204" pitchFamily="34" charset="0"/>
            </a:rPr>
            <a:t>articularly compelling value-add opportunity is driven by an 18% return on cost for unit renovations and strong rent growth through the investment period.  Research suggests that rent growth is expected to be 5% in 2025, 4.5% in 2026 and 3% thereafter. Driven by strong market fundamentals,</a:t>
          </a:r>
          <a:r>
            <a:rPr lang="en-US" sz="1200" baseline="0">
              <a:solidFill>
                <a:schemeClr val="dk1"/>
              </a:solidFill>
              <a:effectLst/>
              <a:latin typeface="Arial" panose="020B0604020202020204" pitchFamily="34" charset="0"/>
              <a:ea typeface="+mn-ea"/>
              <a:cs typeface="Arial" panose="020B0604020202020204" pitchFamily="34" charset="0"/>
            </a:rPr>
            <a:t> t</a:t>
          </a:r>
          <a:r>
            <a:rPr lang="en-US" sz="1200">
              <a:solidFill>
                <a:schemeClr val="dk1"/>
              </a:solidFill>
              <a:effectLst/>
              <a:latin typeface="Arial" panose="020B0604020202020204" pitchFamily="34" charset="0"/>
              <a:ea typeface="+mn-ea"/>
              <a:cs typeface="Arial" panose="020B0604020202020204" pitchFamily="34" charset="0"/>
            </a:rPr>
            <a:t>he investment opportunity projects a 15.0% levered IRR</a:t>
          </a:r>
          <a:r>
            <a:rPr lang="en-US" sz="1200" baseline="0">
              <a:solidFill>
                <a:schemeClr val="dk1"/>
              </a:solidFill>
              <a:effectLst/>
              <a:latin typeface="Arial" panose="020B0604020202020204" pitchFamily="34" charset="0"/>
              <a:ea typeface="+mn-ea"/>
              <a:cs typeface="Arial" panose="020B0604020202020204" pitchFamily="34" charset="0"/>
            </a:rPr>
            <a:t> </a:t>
          </a:r>
          <a:r>
            <a:rPr lang="en-US" sz="1200">
              <a:solidFill>
                <a:schemeClr val="dk1"/>
              </a:solidFill>
              <a:effectLst/>
              <a:latin typeface="Arial" panose="020B0604020202020204" pitchFamily="34" charset="0"/>
              <a:ea typeface="+mn-ea"/>
              <a:cs typeface="Arial" panose="020B0604020202020204" pitchFamily="34" charset="0"/>
            </a:rPr>
            <a:t>and 2.0x equity multiple on a project level and a 14.2% levered IRR and 1.9x equity</a:t>
          </a:r>
          <a:r>
            <a:rPr lang="en-US" sz="1200" baseline="0">
              <a:solidFill>
                <a:schemeClr val="dk1"/>
              </a:solidFill>
              <a:effectLst/>
              <a:latin typeface="Arial" panose="020B0604020202020204" pitchFamily="34" charset="0"/>
              <a:ea typeface="+mn-ea"/>
              <a:cs typeface="Arial" panose="020B0604020202020204" pitchFamily="34" charset="0"/>
            </a:rPr>
            <a:t> multiple for BlackRock. </a:t>
          </a:r>
          <a:endParaRPr lang="en-US" sz="1200">
            <a:solidFill>
              <a:schemeClr val="dk1"/>
            </a:solidFill>
            <a:effectLst/>
            <a:latin typeface="Arial" panose="020B0604020202020204" pitchFamily="34" charset="0"/>
            <a:ea typeface="+mn-ea"/>
            <a:cs typeface="Arial" panose="020B0604020202020204" pitchFamily="34" charset="0"/>
          </a:endParaRPr>
        </a:p>
        <a:p>
          <a:endParaRPr lang="en-US" sz="1200">
            <a:solidFill>
              <a:schemeClr val="dk1"/>
            </a:solidFill>
            <a:effectLst/>
            <a:latin typeface="Arial" panose="020B0604020202020204" pitchFamily="34" charset="0"/>
            <a:ea typeface="+mn-ea"/>
            <a:cs typeface="Arial" panose="020B0604020202020204" pitchFamily="34" charset="0"/>
          </a:endParaRPr>
        </a:p>
        <a:p>
          <a:r>
            <a:rPr lang="en-US" sz="1200">
              <a:solidFill>
                <a:schemeClr val="dk1"/>
              </a:solidFill>
              <a:effectLst/>
              <a:latin typeface="Arial" panose="020B0604020202020204" pitchFamily="34" charset="0"/>
              <a:ea typeface="+mn-ea"/>
              <a:cs typeface="Arial" panose="020B0604020202020204" pitchFamily="34" charset="0"/>
            </a:rPr>
            <a:t>As of December 2024, the average home list price in Los Angeles is $947K, up 1.9% year over year. JP Morgan Chase’s Los Angeles Multifamily Market update projects a vacancy rate of 4.4% across the city through the end of 2024. This vacancy is largely driven by the supply of new Class A developments; 28,000 additional units are expected to deliver by the end of 2025 with an average vacancy of 5.7% for Class A product. As housing prices and Class A rents remain unaffordable to much of the Los Angeles population, the demand for workforce housing options has increased. </a:t>
          </a:r>
        </a:p>
        <a:p>
          <a:endParaRPr lang="en-US" sz="1200">
            <a:solidFill>
              <a:schemeClr val="dk1"/>
            </a:solidFill>
            <a:effectLst/>
            <a:latin typeface="Arial" panose="020B0604020202020204" pitchFamily="34" charset="0"/>
            <a:ea typeface="+mn-ea"/>
            <a:cs typeface="Arial" panose="020B0604020202020204" pitchFamily="34" charset="0"/>
          </a:endParaRPr>
        </a:p>
        <a:p>
          <a:r>
            <a:rPr lang="en-US" sz="1200">
              <a:solidFill>
                <a:schemeClr val="dk1"/>
              </a:solidFill>
              <a:effectLst/>
              <a:latin typeface="Arial" panose="020B0604020202020204" pitchFamily="34" charset="0"/>
              <a:ea typeface="+mn-ea"/>
              <a:cs typeface="Arial" panose="020B0604020202020204" pitchFamily="34" charset="0"/>
            </a:rPr>
            <a:t>Indeed, Class B and C properties in Los Angeles average a 3.2% vacancy rate – substantially lower than the underwritten 5% stabilized vacancy and 5.6% national average. Class B and C renters in Los Angeles earn relatively high wages, driven by strong employment in entertainment, media, and education – targeting rents below the 120% AMI range. Per reports published by the City of Los Angeles in 2024, the average median income (AMI) in the city is $98,200. All underwritten, post-renovation rents fall within the designated workforce housing range (80-120% of AMI) providing an attractive option for a strong rental demand market. </a:t>
          </a:r>
        </a:p>
        <a:p>
          <a:endParaRPr lang="en-US" sz="1200">
            <a:solidFill>
              <a:schemeClr val="dk1"/>
            </a:solidFill>
            <a:effectLst/>
            <a:latin typeface="Arial" panose="020B0604020202020204" pitchFamily="34" charset="0"/>
            <a:ea typeface="+mn-ea"/>
            <a:cs typeface="Arial" panose="020B0604020202020204" pitchFamily="34" charset="0"/>
          </a:endParaRPr>
        </a:p>
        <a:p>
          <a:r>
            <a:rPr lang="en-US" sz="1200">
              <a:solidFill>
                <a:schemeClr val="dk1"/>
              </a:solidFill>
              <a:effectLst/>
              <a:latin typeface="Arial" panose="020B0604020202020204" pitchFamily="34" charset="0"/>
              <a:ea typeface="+mn-ea"/>
              <a:cs typeface="Arial" panose="020B0604020202020204" pitchFamily="34" charset="0"/>
            </a:rPr>
            <a:t>Additionally, the going in cap rate (6.0%) and exit cap rate (5.5%) are relatively conservative compared to industry projections. Chatham Financial research currently projects roughly 90 bps of cap rate compression from acquisition through sale, rather than the 50 bps underwritten. Further compression aligned with industry projections would yield higher returns at exit. </a:t>
          </a:r>
        </a:p>
        <a:p>
          <a:endParaRPr lang="en-US" sz="1200">
            <a:solidFill>
              <a:schemeClr val="dk1"/>
            </a:solidFill>
            <a:effectLst/>
            <a:latin typeface="Arial" panose="020B0604020202020204" pitchFamily="34" charset="0"/>
            <a:ea typeface="+mn-ea"/>
            <a:cs typeface="Arial" panose="020B0604020202020204" pitchFamily="34" charset="0"/>
          </a:endParaRPr>
        </a:p>
        <a:p>
          <a:endParaRPr lang="en-US" sz="1200">
            <a:solidFill>
              <a:schemeClr val="dk1"/>
            </a:solidFill>
            <a:effectLst/>
            <a:latin typeface="Arial" panose="020B0604020202020204" pitchFamily="34" charset="0"/>
            <a:ea typeface="+mn-ea"/>
            <a:cs typeface="Arial" panose="020B0604020202020204" pitchFamily="34" charset="0"/>
          </a:endParaRPr>
        </a:p>
        <a:p>
          <a:r>
            <a:rPr lang="en-US" sz="1200" u="sng">
              <a:solidFill>
                <a:schemeClr val="dk1"/>
              </a:solidFill>
              <a:effectLst/>
              <a:latin typeface="Arial" panose="020B0604020202020204" pitchFamily="34" charset="0"/>
              <a:ea typeface="+mn-ea"/>
              <a:cs typeface="Arial" panose="020B0604020202020204" pitchFamily="34" charset="0"/>
            </a:rPr>
            <a:t>Sources: </a:t>
          </a:r>
        </a:p>
        <a:p>
          <a:r>
            <a:rPr lang="en-US" sz="1000" baseline="30000">
              <a:solidFill>
                <a:schemeClr val="dk1"/>
              </a:solidFill>
              <a:effectLst/>
              <a:latin typeface="Arial" panose="020B0604020202020204" pitchFamily="34" charset="0"/>
              <a:ea typeface="+mn-ea"/>
              <a:cs typeface="Arial" panose="020B0604020202020204" pitchFamily="34" charset="0"/>
            </a:rPr>
            <a:t>1</a:t>
          </a:r>
          <a:r>
            <a:rPr lang="en-US" sz="1000">
              <a:solidFill>
                <a:schemeClr val="dk1"/>
              </a:solidFill>
              <a:effectLst/>
              <a:latin typeface="Arial" panose="020B0604020202020204" pitchFamily="34" charset="0"/>
              <a:ea typeface="+mn-ea"/>
              <a:cs typeface="Arial" panose="020B0604020202020204" pitchFamily="34" charset="0"/>
            </a:rPr>
            <a:t>Zillow. "Los Angeles Home Values." https://www.zillow.com/home-values/12447/los-angeles-ca/.</a:t>
          </a:r>
        </a:p>
        <a:p>
          <a:r>
            <a:rPr lang="en-US" sz="1000" baseline="30000">
              <a:solidFill>
                <a:schemeClr val="dk1"/>
              </a:solidFill>
              <a:effectLst/>
              <a:latin typeface="Arial" panose="020B0604020202020204" pitchFamily="34" charset="0"/>
              <a:ea typeface="+mn-ea"/>
              <a:cs typeface="Arial" panose="020B0604020202020204" pitchFamily="34" charset="0"/>
            </a:rPr>
            <a:t>2</a:t>
          </a:r>
          <a:r>
            <a:rPr lang="en-US" sz="1000">
              <a:solidFill>
                <a:schemeClr val="dk1"/>
              </a:solidFill>
              <a:effectLst/>
              <a:latin typeface="Arial" panose="020B0604020202020204" pitchFamily="34" charset="0"/>
              <a:ea typeface="+mn-ea"/>
              <a:cs typeface="Arial" panose="020B0604020202020204" pitchFamily="34" charset="0"/>
            </a:rPr>
            <a:t>J.P. Morgan. "Los Angeles Multifamily Market Outlook." Insights, https://www.jpmorgan.com/insights/real-estate/commercial-term-lending/los-angeles-multifamily-market-outlook.</a:t>
          </a:r>
        </a:p>
        <a:p>
          <a:r>
            <a:rPr lang="en-US" sz="1000" baseline="30000">
              <a:solidFill>
                <a:schemeClr val="dk1"/>
              </a:solidFill>
              <a:effectLst/>
              <a:latin typeface="Arial" panose="020B0604020202020204" pitchFamily="34" charset="0"/>
              <a:ea typeface="+mn-ea"/>
              <a:cs typeface="Arial" panose="020B0604020202020204" pitchFamily="34" charset="0"/>
            </a:rPr>
            <a:t>3</a:t>
          </a:r>
          <a:r>
            <a:rPr lang="en-US" sz="1000">
              <a:solidFill>
                <a:schemeClr val="dk1"/>
              </a:solidFill>
              <a:effectLst/>
              <a:latin typeface="Arial" panose="020B0604020202020204" pitchFamily="34" charset="0"/>
              <a:ea typeface="+mn-ea"/>
              <a:cs typeface="Arial" panose="020B0604020202020204" pitchFamily="34" charset="0"/>
            </a:rPr>
            <a:t>U.S. Bureau of Labor Statistics. "Occupational Employment and Wages in Los Angeles-Long Beach-Anaheim — May 2023." Last modified June 27, 2024. https://www.bls.gov/regions/west/news-release/occupationalemploymentandwages_losangeles.htm.</a:t>
          </a:r>
        </a:p>
        <a:p>
          <a:r>
            <a:rPr lang="en-US" sz="1000" baseline="30000">
              <a:solidFill>
                <a:schemeClr val="dk1"/>
              </a:solidFill>
              <a:effectLst/>
              <a:latin typeface="Arial" panose="020B0604020202020204" pitchFamily="34" charset="0"/>
              <a:ea typeface="+mn-ea"/>
              <a:cs typeface="Arial" panose="020B0604020202020204" pitchFamily="34" charset="0"/>
            </a:rPr>
            <a:t>4</a:t>
          </a:r>
          <a:r>
            <a:rPr lang="en-US" sz="1000">
              <a:solidFill>
                <a:schemeClr val="dk1"/>
              </a:solidFill>
              <a:effectLst/>
              <a:latin typeface="Arial" panose="020B0604020202020204" pitchFamily="34" charset="0"/>
              <a:ea typeface="+mn-ea"/>
              <a:cs typeface="Arial" panose="020B0604020202020204" pitchFamily="34" charset="0"/>
            </a:rPr>
            <a:t>City of Los Angeles Housing Department. 2024 Rent and Income Schedules. https://housing2.lacity.org/wp-content/uploads/2023/08/Rent-and-Income-Limits.pdf.</a:t>
          </a:r>
        </a:p>
        <a:p>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person displayName="Peppelman, Colton" id="{55023737-3277-4531-AFC0-A325E560F454}" userId="S::colton.peppelman@yale.edu::7a7c90f3-f2db-4623-b16e-f0b1fdf6a2e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8" dT="2024-12-10T16:36:10.31" personId="{55023737-3277-4531-AFC0-A325E560F454}" id="{2098E258-44D9-4C68-A4FA-275EC1A84283}">
    <text xml:space="preserve">Assumes 1.5% debt cost and closing costs. </text>
  </threadedComment>
  <threadedComment ref="F63" dT="2024-12-10T16:45:19.71" personId="{55023737-3277-4531-AFC0-A325E560F454}" id="{DDE2918A-505E-4118-B7AB-FBCBAC49B69D}">
    <text>Assumes 92.5% occupancy in year 0</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85AD3-B110-4EA0-ABD0-72844D9C9926}">
  <sheetPr>
    <pageSetUpPr fitToPage="1"/>
  </sheetPr>
  <dimension ref="B2:L174"/>
  <sheetViews>
    <sheetView showGridLines="0" tabSelected="1" view="pageBreakPreview" zoomScale="69" zoomScaleNormal="51" zoomScaleSheetLayoutView="130" workbookViewId="0">
      <selection activeCell="O20" sqref="O20"/>
    </sheetView>
  </sheetViews>
  <sheetFormatPr defaultColWidth="8.85546875" defaultRowHeight="14.1" customHeight="1"/>
  <cols>
    <col min="1" max="1" width="3.140625" style="1" customWidth="1"/>
    <col min="2" max="3" width="10.7109375" style="1" customWidth="1"/>
    <col min="4" max="5" width="14" style="1" bestFit="1" customWidth="1"/>
    <col min="6" max="6" width="13.85546875" style="1" bestFit="1" customWidth="1"/>
    <col min="7" max="12" width="14.5703125" style="1" bestFit="1" customWidth="1"/>
    <col min="13" max="16384" width="8.85546875" style="1"/>
  </cols>
  <sheetData>
    <row r="2" spans="2:12" ht="14.1" customHeight="1">
      <c r="B2" s="2" t="s">
        <v>0</v>
      </c>
    </row>
    <row r="3" spans="2:12" ht="14.1" customHeight="1">
      <c r="B3" s="1" t="s">
        <v>1</v>
      </c>
      <c r="C3" s="1" t="s">
        <v>2</v>
      </c>
    </row>
    <row r="4" spans="2:12" ht="14.1" customHeight="1">
      <c r="B4" s="1" t="s">
        <v>3</v>
      </c>
      <c r="C4" s="1" t="s">
        <v>4</v>
      </c>
    </row>
    <row r="6" spans="2:12" ht="14.1" customHeight="1">
      <c r="B6" s="30" t="s">
        <v>5</v>
      </c>
      <c r="C6" s="31"/>
      <c r="D6" s="31"/>
      <c r="E6" s="31"/>
      <c r="F6" s="31"/>
      <c r="G6" s="31"/>
      <c r="H6" s="31"/>
      <c r="I6" s="31"/>
      <c r="J6" s="31"/>
      <c r="K6" s="31"/>
      <c r="L6" s="31"/>
    </row>
    <row r="8" spans="2:12" ht="14.1" customHeight="1">
      <c r="B8" s="32" t="s">
        <v>6</v>
      </c>
      <c r="C8" s="32"/>
      <c r="D8" s="32"/>
      <c r="E8" s="2"/>
      <c r="F8" s="32" t="s">
        <v>7</v>
      </c>
      <c r="G8" s="32"/>
      <c r="H8" s="32"/>
      <c r="I8" s="2"/>
      <c r="J8" s="32" t="s">
        <v>8</v>
      </c>
      <c r="K8" s="32"/>
      <c r="L8" s="32"/>
    </row>
    <row r="9" spans="2:12" ht="14.1" customHeight="1">
      <c r="B9" s="1" t="s">
        <v>9</v>
      </c>
      <c r="D9" s="3" t="s">
        <v>10</v>
      </c>
      <c r="F9" s="1" t="s">
        <v>11</v>
      </c>
      <c r="H9" s="29">
        <v>45657</v>
      </c>
      <c r="J9" s="1" t="s">
        <v>12</v>
      </c>
      <c r="L9" s="1">
        <f>D10</f>
        <v>132</v>
      </c>
    </row>
    <row r="10" spans="2:12" ht="14.1" customHeight="1">
      <c r="B10" s="1" t="s">
        <v>13</v>
      </c>
      <c r="D10" s="3">
        <f>D27</f>
        <v>132</v>
      </c>
      <c r="F10" s="1" t="s">
        <v>14</v>
      </c>
      <c r="H10" s="6">
        <v>60</v>
      </c>
      <c r="J10" s="1" t="s">
        <v>15</v>
      </c>
      <c r="L10" s="12">
        <v>25000</v>
      </c>
    </row>
    <row r="11" spans="2:12" ht="14.1" customHeight="1">
      <c r="B11" s="1" t="s">
        <v>16</v>
      </c>
      <c r="D11" s="3" t="s">
        <v>17</v>
      </c>
      <c r="F11" s="1" t="s">
        <v>18</v>
      </c>
      <c r="H11" s="12">
        <v>46273235.434042089</v>
      </c>
      <c r="I11" s="34"/>
      <c r="J11" s="1" t="s">
        <v>19</v>
      </c>
      <c r="L11" s="27">
        <v>0.18</v>
      </c>
    </row>
    <row r="12" spans="2:12" ht="14.1" customHeight="1">
      <c r="D12" s="4"/>
      <c r="J12" s="1" t="s">
        <v>20</v>
      </c>
      <c r="L12" s="5">
        <f>L10*L9</f>
        <v>3300000</v>
      </c>
    </row>
    <row r="13" spans="2:12" ht="14.1" customHeight="1">
      <c r="B13" s="32" t="s">
        <v>21</v>
      </c>
      <c r="C13" s="32"/>
      <c r="D13" s="32"/>
      <c r="E13" s="2"/>
      <c r="F13" s="32" t="s">
        <v>22</v>
      </c>
      <c r="G13" s="32"/>
      <c r="H13" s="32"/>
      <c r="J13" s="1" t="s">
        <v>23</v>
      </c>
      <c r="L13" s="5">
        <f>L11*L12/L9/12</f>
        <v>375</v>
      </c>
    </row>
    <row r="14" spans="2:12" ht="14.1" customHeight="1">
      <c r="B14" s="1" t="s">
        <v>24</v>
      </c>
      <c r="D14" s="27">
        <v>0.6</v>
      </c>
      <c r="F14" s="1" t="s">
        <v>25</v>
      </c>
      <c r="H14" s="29">
        <f>EOMONTH(H9,H10)</f>
        <v>47483</v>
      </c>
    </row>
    <row r="15" spans="2:12" ht="14.1" customHeight="1">
      <c r="B15" s="1" t="s">
        <v>26</v>
      </c>
      <c r="D15" s="5">
        <f>D14*(H11+D19)</f>
        <v>28180400.37933163</v>
      </c>
      <c r="F15" s="1" t="s">
        <v>27</v>
      </c>
      <c r="H15" s="19">
        <v>5.5E-2</v>
      </c>
      <c r="J15" s="32" t="s">
        <v>28</v>
      </c>
      <c r="K15" s="32"/>
      <c r="L15" s="32"/>
    </row>
    <row r="16" spans="2:12" ht="14.1" customHeight="1">
      <c r="B16" s="1" t="s">
        <v>29</v>
      </c>
      <c r="D16" s="28">
        <v>5.2499999999999998E-2</v>
      </c>
      <c r="F16" s="1" t="s">
        <v>30</v>
      </c>
      <c r="H16" s="5">
        <f>L77/H15</f>
        <v>61271451.493333109</v>
      </c>
      <c r="J16" s="1" t="s">
        <v>31</v>
      </c>
      <c r="L16" s="7">
        <v>300</v>
      </c>
    </row>
    <row r="17" spans="2:12" ht="14.1" customHeight="1">
      <c r="B17" s="1" t="s">
        <v>32</v>
      </c>
      <c r="D17" s="5">
        <f>D15*D16</f>
        <v>1479471.0199149104</v>
      </c>
      <c r="F17" s="1" t="s">
        <v>33</v>
      </c>
      <c r="H17" s="19">
        <v>1.4999999999999999E-2</v>
      </c>
    </row>
    <row r="18" spans="2:12" ht="14.1" customHeight="1">
      <c r="B18" s="1" t="s">
        <v>34</v>
      </c>
      <c r="D18" s="52">
        <f>0.015*D15</f>
        <v>422706.00568997441</v>
      </c>
      <c r="H18" s="64"/>
    </row>
    <row r="19" spans="2:12" ht="14.1" customHeight="1">
      <c r="B19" s="1" t="s">
        <v>35</v>
      </c>
      <c r="D19" s="52">
        <f>0.015*H11</f>
        <v>694098.53151063132</v>
      </c>
      <c r="G19" s="5"/>
      <c r="H19" s="64"/>
    </row>
    <row r="21" spans="2:12" ht="14.1" customHeight="1">
      <c r="B21" s="32" t="s">
        <v>36</v>
      </c>
      <c r="C21" s="32"/>
      <c r="D21" s="32"/>
      <c r="E21" s="32"/>
      <c r="F21" s="32"/>
      <c r="G21" s="32"/>
      <c r="H21" s="32"/>
      <c r="J21" s="32" t="s">
        <v>37</v>
      </c>
      <c r="K21" s="32"/>
      <c r="L21" s="32"/>
    </row>
    <row r="22" spans="2:12" ht="14.1" customHeight="1">
      <c r="B22" s="24" t="s">
        <v>38</v>
      </c>
      <c r="C22" s="24"/>
      <c r="D22" s="47" t="s">
        <v>39</v>
      </c>
      <c r="E22" s="47" t="s">
        <v>40</v>
      </c>
      <c r="F22" s="47" t="s">
        <v>41</v>
      </c>
      <c r="G22" s="47" t="s">
        <v>23</v>
      </c>
      <c r="H22" s="47" t="s">
        <v>42</v>
      </c>
      <c r="I22" s="2"/>
      <c r="J22" s="1" t="s">
        <v>43</v>
      </c>
      <c r="L22" s="7">
        <v>90</v>
      </c>
    </row>
    <row r="23" spans="2:12" ht="14.1" customHeight="1">
      <c r="B23" s="1" t="s">
        <v>44</v>
      </c>
      <c r="D23" s="48">
        <v>35</v>
      </c>
      <c r="E23" s="48">
        <v>527</v>
      </c>
      <c r="F23" s="59">
        <v>2150</v>
      </c>
      <c r="G23" s="60">
        <f>$L$13</f>
        <v>375</v>
      </c>
      <c r="H23" s="60">
        <f>F23+G23</f>
        <v>2525</v>
      </c>
      <c r="J23" s="8" t="s">
        <v>45</v>
      </c>
      <c r="K23" s="8"/>
      <c r="L23" s="51">
        <v>50</v>
      </c>
    </row>
    <row r="24" spans="2:12" ht="14.1" customHeight="1">
      <c r="B24" s="1" t="s">
        <v>46</v>
      </c>
      <c r="D24" s="48">
        <v>47</v>
      </c>
      <c r="E24" s="48">
        <v>780</v>
      </c>
      <c r="F24" s="59">
        <v>2500</v>
      </c>
      <c r="G24" s="60">
        <f t="shared" ref="G24:G26" si="0">$L$13</f>
        <v>375</v>
      </c>
      <c r="H24" s="60">
        <f t="shared" ref="H24:H26" si="1">F24+G24</f>
        <v>2875</v>
      </c>
      <c r="J24" s="1" t="s">
        <v>47</v>
      </c>
      <c r="L24" s="34">
        <f>SUM(L22:L23)*12*D10</f>
        <v>221760</v>
      </c>
    </row>
    <row r="25" spans="2:12" ht="14.1" customHeight="1">
      <c r="B25" s="1" t="s">
        <v>48</v>
      </c>
      <c r="D25" s="48">
        <v>38</v>
      </c>
      <c r="E25" s="48">
        <v>1150</v>
      </c>
      <c r="F25" s="59">
        <v>2900</v>
      </c>
      <c r="G25" s="60">
        <f t="shared" si="0"/>
        <v>375</v>
      </c>
      <c r="H25" s="60">
        <f t="shared" si="1"/>
        <v>3275</v>
      </c>
    </row>
    <row r="26" spans="2:12" ht="14.1" customHeight="1">
      <c r="B26" s="8" t="s">
        <v>49</v>
      </c>
      <c r="C26" s="8"/>
      <c r="D26" s="49">
        <v>12</v>
      </c>
      <c r="E26" s="49">
        <v>1278</v>
      </c>
      <c r="F26" s="61">
        <v>3225</v>
      </c>
      <c r="G26" s="62">
        <f t="shared" si="0"/>
        <v>375</v>
      </c>
      <c r="H26" s="62">
        <f t="shared" si="1"/>
        <v>3600</v>
      </c>
    </row>
    <row r="27" spans="2:12" ht="14.1" customHeight="1">
      <c r="B27" s="2" t="s">
        <v>50</v>
      </c>
      <c r="C27" s="2"/>
      <c r="D27" s="9">
        <f>SUM(D23:D26)</f>
        <v>132</v>
      </c>
      <c r="E27" s="58">
        <f>SUMPRODUCT($D$23:$D$26,E23:E26)/$D$27</f>
        <v>864.7045454545455</v>
      </c>
      <c r="F27" s="63">
        <f>SUMPRODUCT($D$23:$D$26,F23:F26)/$D$27</f>
        <v>2588.257575757576</v>
      </c>
      <c r="G27" s="63">
        <f>SUMPRODUCT($D$23:$D$26,G23:G26)/$D$27</f>
        <v>375</v>
      </c>
      <c r="H27" s="63">
        <f>SUMPRODUCT($D$23:$D$26,H23:H26)/$D$27</f>
        <v>2963.257575757576</v>
      </c>
      <c r="I27" s="34"/>
    </row>
    <row r="30" spans="2:12" ht="14.1" customHeight="1">
      <c r="B30" s="30" t="s">
        <v>51</v>
      </c>
      <c r="C30" s="31"/>
      <c r="D30" s="31"/>
      <c r="E30" s="31"/>
      <c r="F30" s="31"/>
      <c r="G30" s="31"/>
      <c r="H30" s="31"/>
      <c r="I30" s="31"/>
      <c r="J30" s="31"/>
      <c r="K30" s="31"/>
      <c r="L30" s="31"/>
    </row>
    <row r="31" spans="2:12" ht="14.1" customHeight="1">
      <c r="B31" s="2"/>
    </row>
    <row r="32" spans="2:12" ht="14.1" customHeight="1">
      <c r="F32" s="9" t="s">
        <v>52</v>
      </c>
      <c r="G32" s="9" t="s">
        <v>53</v>
      </c>
      <c r="H32" s="9" t="s">
        <v>54</v>
      </c>
      <c r="I32" s="9" t="s">
        <v>55</v>
      </c>
      <c r="J32" s="9" t="s">
        <v>56</v>
      </c>
      <c r="K32" s="9" t="s">
        <v>57</v>
      </c>
      <c r="L32" s="9" t="s">
        <v>58</v>
      </c>
    </row>
    <row r="33" spans="2:12" ht="14.1" customHeight="1">
      <c r="B33" s="1" t="s">
        <v>59</v>
      </c>
      <c r="G33" s="10">
        <v>0.9</v>
      </c>
      <c r="H33" s="10">
        <v>0.9</v>
      </c>
      <c r="I33" s="10">
        <v>0.9</v>
      </c>
      <c r="J33" s="10">
        <v>0.95</v>
      </c>
      <c r="K33" s="10">
        <v>0.95</v>
      </c>
      <c r="L33" s="10">
        <v>0.95</v>
      </c>
    </row>
    <row r="34" spans="2:12" ht="14.1" customHeight="1">
      <c r="B34" s="1" t="s">
        <v>60</v>
      </c>
      <c r="G34" s="10">
        <v>0.05</v>
      </c>
      <c r="H34" s="10">
        <v>4.4999999999999998E-2</v>
      </c>
      <c r="I34" s="10">
        <v>4.4999999999999998E-2</v>
      </c>
      <c r="J34" s="10">
        <v>0.03</v>
      </c>
      <c r="K34" s="10">
        <v>0.03</v>
      </c>
      <c r="L34" s="10">
        <v>0.03</v>
      </c>
    </row>
    <row r="35" spans="2:12" ht="14.1" customHeight="1">
      <c r="B35" s="1" t="s">
        <v>61</v>
      </c>
    </row>
    <row r="36" spans="2:12" ht="14.1" customHeight="1">
      <c r="B36" s="11" t="s">
        <v>62</v>
      </c>
      <c r="G36" s="10">
        <v>0</v>
      </c>
      <c r="H36" s="10">
        <v>0</v>
      </c>
      <c r="I36" s="10">
        <v>0</v>
      </c>
      <c r="J36" s="10">
        <v>0</v>
      </c>
      <c r="K36" s="10">
        <v>0</v>
      </c>
      <c r="L36" s="10">
        <v>0</v>
      </c>
    </row>
    <row r="37" spans="2:12" ht="14.1" customHeight="1">
      <c r="B37" s="11" t="s">
        <v>63</v>
      </c>
      <c r="G37" s="10">
        <v>0.03</v>
      </c>
      <c r="H37" s="10">
        <v>0.03</v>
      </c>
      <c r="I37" s="10">
        <v>0.03</v>
      </c>
      <c r="J37" s="10">
        <v>0.03</v>
      </c>
      <c r="K37" s="10">
        <v>0.03</v>
      </c>
      <c r="L37" s="10">
        <v>0.03</v>
      </c>
    </row>
    <row r="38" spans="2:12" ht="14.1" customHeight="1">
      <c r="B38" s="11" t="s">
        <v>64</v>
      </c>
      <c r="G38" s="10">
        <v>0.03</v>
      </c>
      <c r="H38" s="10">
        <v>0.03</v>
      </c>
      <c r="I38" s="10">
        <v>0.03</v>
      </c>
      <c r="J38" s="10">
        <v>0.03</v>
      </c>
      <c r="K38" s="10">
        <v>0.03</v>
      </c>
      <c r="L38" s="10">
        <v>0.03</v>
      </c>
    </row>
    <row r="39" spans="2:12" ht="14.1" customHeight="1">
      <c r="B39" s="11" t="s">
        <v>65</v>
      </c>
      <c r="G39" s="10">
        <v>0.03</v>
      </c>
      <c r="H39" s="10">
        <v>0.03</v>
      </c>
      <c r="I39" s="10">
        <v>0.03</v>
      </c>
      <c r="J39" s="10">
        <v>0.03</v>
      </c>
      <c r="K39" s="10">
        <v>0.03</v>
      </c>
      <c r="L39" s="10">
        <v>0.03</v>
      </c>
    </row>
    <row r="40" spans="2:12" ht="14.1" customHeight="1">
      <c r="B40" s="11" t="s">
        <v>66</v>
      </c>
      <c r="G40" s="10">
        <v>4.4999999999999998E-2</v>
      </c>
      <c r="H40" s="10">
        <v>4.4999999999999998E-2</v>
      </c>
      <c r="I40" s="10">
        <v>4.4999999999999998E-2</v>
      </c>
      <c r="J40" s="10">
        <v>0.03</v>
      </c>
      <c r="K40" s="10">
        <v>0.03</v>
      </c>
      <c r="L40" s="10">
        <v>0.03</v>
      </c>
    </row>
    <row r="41" spans="2:12" ht="14.1" customHeight="1">
      <c r="B41" s="11" t="s">
        <v>67</v>
      </c>
      <c r="G41" s="10">
        <v>0.03</v>
      </c>
      <c r="H41" s="10">
        <v>0.03</v>
      </c>
      <c r="I41" s="10">
        <v>0.03</v>
      </c>
      <c r="J41" s="10">
        <v>0.03</v>
      </c>
      <c r="K41" s="10">
        <v>0.03</v>
      </c>
      <c r="L41" s="10">
        <v>0.03</v>
      </c>
    </row>
    <row r="42" spans="2:12" ht="14.1" customHeight="1">
      <c r="B42" s="11" t="s">
        <v>68</v>
      </c>
      <c r="G42" s="10">
        <v>2.5000000000000001E-2</v>
      </c>
      <c r="H42" s="10">
        <v>2.5000000000000001E-2</v>
      </c>
      <c r="I42" s="10">
        <v>2.5000000000000001E-2</v>
      </c>
      <c r="J42" s="10">
        <v>2.5000000000000001E-2</v>
      </c>
      <c r="K42" s="10">
        <v>2.5000000000000001E-2</v>
      </c>
      <c r="L42" s="10">
        <v>2.5000000000000001E-2</v>
      </c>
    </row>
    <row r="43" spans="2:12" ht="14.1" customHeight="1">
      <c r="B43" s="11" t="s">
        <v>69</v>
      </c>
      <c r="G43" s="10">
        <v>4.4999999999999998E-2</v>
      </c>
      <c r="H43" s="10">
        <v>4.4999999999999998E-2</v>
      </c>
      <c r="I43" s="10">
        <v>4.4999999999999998E-2</v>
      </c>
      <c r="J43" s="10">
        <v>0.03</v>
      </c>
      <c r="K43" s="10">
        <v>0.03</v>
      </c>
      <c r="L43" s="10">
        <v>0.03</v>
      </c>
    </row>
    <row r="45" spans="2:12" ht="14.1" customHeight="1">
      <c r="B45" s="1" t="s">
        <v>70</v>
      </c>
      <c r="G45" s="6">
        <v>44</v>
      </c>
      <c r="H45" s="6">
        <v>44</v>
      </c>
      <c r="I45" s="6">
        <v>44</v>
      </c>
      <c r="J45" s="6">
        <v>0</v>
      </c>
      <c r="K45" s="6">
        <v>0</v>
      </c>
      <c r="L45" s="6">
        <v>0</v>
      </c>
    </row>
    <row r="46" spans="2:12" ht="14.1" customHeight="1">
      <c r="B46" s="1" t="s">
        <v>71</v>
      </c>
      <c r="G46" s="12">
        <f t="shared" ref="G46:L46" si="2">G45*$L$10</f>
        <v>1100000</v>
      </c>
      <c r="H46" s="12">
        <f t="shared" si="2"/>
        <v>1100000</v>
      </c>
      <c r="I46" s="12">
        <f t="shared" si="2"/>
        <v>1100000</v>
      </c>
      <c r="J46" s="12">
        <f t="shared" si="2"/>
        <v>0</v>
      </c>
      <c r="K46" s="12">
        <f t="shared" si="2"/>
        <v>0</v>
      </c>
      <c r="L46" s="12">
        <f t="shared" si="2"/>
        <v>0</v>
      </c>
    </row>
    <row r="49" spans="2:12" ht="14.1" customHeight="1">
      <c r="B49" s="30" t="s">
        <v>72</v>
      </c>
      <c r="C49" s="31"/>
      <c r="D49" s="31"/>
      <c r="E49" s="31"/>
      <c r="F49" s="31"/>
      <c r="G49" s="31"/>
      <c r="H49" s="31"/>
      <c r="I49" s="31"/>
      <c r="J49" s="31"/>
      <c r="K49" s="31"/>
      <c r="L49" s="31"/>
    </row>
    <row r="51" spans="2:12" ht="14.1" customHeight="1">
      <c r="D51" s="9" t="s">
        <v>73</v>
      </c>
      <c r="E51" s="9"/>
      <c r="F51" s="9" t="s">
        <v>52</v>
      </c>
      <c r="G51" s="9" t="s">
        <v>53</v>
      </c>
      <c r="H51" s="9" t="s">
        <v>54</v>
      </c>
      <c r="I51" s="9" t="s">
        <v>55</v>
      </c>
      <c r="J51" s="9" t="s">
        <v>56</v>
      </c>
      <c r="K51" s="9" t="s">
        <v>57</v>
      </c>
      <c r="L51" s="9" t="s">
        <v>58</v>
      </c>
    </row>
    <row r="52" spans="2:12" ht="14.1" customHeight="1">
      <c r="D52" s="13" t="s">
        <v>74</v>
      </c>
      <c r="E52" s="13"/>
      <c r="F52" s="14">
        <f>H9</f>
        <v>45657</v>
      </c>
      <c r="G52" s="14">
        <f>EOMONTH(F52,12)</f>
        <v>46022</v>
      </c>
      <c r="H52" s="14">
        <f t="shared" ref="H52:L52" si="3">EOMONTH(G52,12)</f>
        <v>46387</v>
      </c>
      <c r="I52" s="14">
        <f t="shared" si="3"/>
        <v>46752</v>
      </c>
      <c r="J52" s="14">
        <f t="shared" si="3"/>
        <v>47118</v>
      </c>
      <c r="K52" s="14">
        <f t="shared" si="3"/>
        <v>47483</v>
      </c>
      <c r="L52" s="14">
        <f t="shared" si="3"/>
        <v>47848</v>
      </c>
    </row>
    <row r="54" spans="2:12" ht="14.1" customHeight="1">
      <c r="B54" s="1" t="s">
        <v>75</v>
      </c>
      <c r="F54" s="1">
        <v>132</v>
      </c>
      <c r="G54" s="1">
        <f>$F$54-G55</f>
        <v>88</v>
      </c>
      <c r="H54" s="1">
        <f>$F$54-H55</f>
        <v>44</v>
      </c>
      <c r="I54" s="1">
        <f>$F$54-I55</f>
        <v>0</v>
      </c>
      <c r="J54" s="1">
        <f t="shared" ref="J54:L54" si="4">$F$54-J55</f>
        <v>0</v>
      </c>
      <c r="K54" s="1">
        <f t="shared" si="4"/>
        <v>0</v>
      </c>
      <c r="L54" s="1">
        <f t="shared" si="4"/>
        <v>0</v>
      </c>
    </row>
    <row r="55" spans="2:12" ht="14.1" customHeight="1">
      <c r="B55" s="1" t="s">
        <v>76</v>
      </c>
      <c r="F55" s="1">
        <v>0</v>
      </c>
      <c r="G55" s="1">
        <f>G45</f>
        <v>44</v>
      </c>
      <c r="H55" s="1">
        <f>G55+H45</f>
        <v>88</v>
      </c>
      <c r="I55" s="1">
        <f>H55+I45</f>
        <v>132</v>
      </c>
      <c r="J55" s="1">
        <f t="shared" ref="J55:L55" si="5">I55+J45</f>
        <v>132</v>
      </c>
      <c r="K55" s="1">
        <f t="shared" si="5"/>
        <v>132</v>
      </c>
      <c r="L55" s="1">
        <f t="shared" si="5"/>
        <v>132</v>
      </c>
    </row>
    <row r="57" spans="2:12" ht="14.1" customHeight="1">
      <c r="B57" s="1" t="s">
        <v>77</v>
      </c>
      <c r="D57" s="15">
        <f>F27</f>
        <v>2588.257575757576</v>
      </c>
      <c r="F57" s="15">
        <f t="shared" ref="F57:L57" si="6">$D$57*F54*12</f>
        <v>4099800</v>
      </c>
      <c r="G57" s="15">
        <f t="shared" si="6"/>
        <v>2733200</v>
      </c>
      <c r="H57" s="15">
        <f t="shared" si="6"/>
        <v>1366600</v>
      </c>
      <c r="I57" s="15">
        <f t="shared" si="6"/>
        <v>0</v>
      </c>
      <c r="J57" s="15">
        <f t="shared" si="6"/>
        <v>0</v>
      </c>
      <c r="K57" s="15">
        <f t="shared" si="6"/>
        <v>0</v>
      </c>
      <c r="L57" s="15">
        <f t="shared" si="6"/>
        <v>0</v>
      </c>
    </row>
    <row r="58" spans="2:12" ht="14.1" customHeight="1">
      <c r="B58" s="1" t="s">
        <v>42</v>
      </c>
      <c r="D58" s="15">
        <f>H27</f>
        <v>2963.257575757576</v>
      </c>
      <c r="F58" s="15">
        <f t="shared" ref="F58:L58" si="7">$D$58*F55*12</f>
        <v>0</v>
      </c>
      <c r="G58" s="15">
        <f t="shared" si="7"/>
        <v>1564600</v>
      </c>
      <c r="H58" s="15">
        <f t="shared" si="7"/>
        <v>3129200</v>
      </c>
      <c r="I58" s="15">
        <f t="shared" si="7"/>
        <v>4693800</v>
      </c>
      <c r="J58" s="15">
        <f t="shared" si="7"/>
        <v>4693800</v>
      </c>
      <c r="K58" s="15">
        <f t="shared" si="7"/>
        <v>4693800</v>
      </c>
      <c r="L58" s="15">
        <f t="shared" si="7"/>
        <v>4693800</v>
      </c>
    </row>
    <row r="59" spans="2:12" ht="14.1" customHeight="1">
      <c r="B59" s="1" t="s">
        <v>37</v>
      </c>
      <c r="D59" s="50">
        <f>L24</f>
        <v>221760</v>
      </c>
      <c r="F59" s="50">
        <f t="shared" ref="F59:L59" si="8">$D$59</f>
        <v>221760</v>
      </c>
      <c r="G59" s="50">
        <f t="shared" si="8"/>
        <v>221760</v>
      </c>
      <c r="H59" s="50">
        <f t="shared" si="8"/>
        <v>221760</v>
      </c>
      <c r="I59" s="50">
        <f t="shared" si="8"/>
        <v>221760</v>
      </c>
      <c r="J59" s="50">
        <f t="shared" si="8"/>
        <v>221760</v>
      </c>
      <c r="K59" s="50">
        <f t="shared" si="8"/>
        <v>221760</v>
      </c>
      <c r="L59" s="50">
        <f t="shared" si="8"/>
        <v>221760</v>
      </c>
    </row>
    <row r="60" spans="2:12" ht="14.1" customHeight="1">
      <c r="B60" s="8" t="s">
        <v>60</v>
      </c>
      <c r="C60" s="8"/>
      <c r="D60" s="8"/>
      <c r="E60" s="8"/>
      <c r="F60" s="16">
        <v>0</v>
      </c>
      <c r="G60" s="16">
        <f>SUM(G57:G59)*(G34)</f>
        <v>225978</v>
      </c>
      <c r="H60" s="16">
        <f t="shared" ref="H60:L60" si="9">SUM(H57:H59)*(H34)</f>
        <v>212290.19999999998</v>
      </c>
      <c r="I60" s="16">
        <f t="shared" si="9"/>
        <v>221200.19999999998</v>
      </c>
      <c r="J60" s="16">
        <f t="shared" si="9"/>
        <v>147466.79999999999</v>
      </c>
      <c r="K60" s="16">
        <f t="shared" si="9"/>
        <v>147466.79999999999</v>
      </c>
      <c r="L60" s="16">
        <f t="shared" si="9"/>
        <v>147466.79999999999</v>
      </c>
    </row>
    <row r="61" spans="2:12" ht="14.1" customHeight="1">
      <c r="B61" s="2" t="s">
        <v>78</v>
      </c>
      <c r="C61" s="2"/>
      <c r="D61" s="2"/>
      <c r="E61" s="2"/>
      <c r="F61" s="17">
        <f>SUM(F57:F60)</f>
        <v>4321560</v>
      </c>
      <c r="G61" s="17">
        <f>SUM(G57:G60)</f>
        <v>4745538</v>
      </c>
      <c r="H61" s="17">
        <f t="shared" ref="H61:L61" si="10">SUM(H57:H60)</f>
        <v>4929850.2</v>
      </c>
      <c r="I61" s="17">
        <f t="shared" si="10"/>
        <v>5136760.2</v>
      </c>
      <c r="J61" s="17">
        <f t="shared" si="10"/>
        <v>5063026.8</v>
      </c>
      <c r="K61" s="17">
        <f t="shared" si="10"/>
        <v>5063026.8</v>
      </c>
      <c r="L61" s="17">
        <f t="shared" si="10"/>
        <v>5063026.8</v>
      </c>
    </row>
    <row r="62" spans="2:12" ht="14.1" customHeight="1">
      <c r="B62" s="2"/>
      <c r="F62" s="15"/>
      <c r="G62" s="15"/>
      <c r="H62" s="15"/>
      <c r="I62" s="15"/>
      <c r="J62" s="15"/>
      <c r="K62" s="15"/>
      <c r="L62" s="15"/>
    </row>
    <row r="63" spans="2:12" ht="14.1" customHeight="1">
      <c r="B63" s="8" t="s">
        <v>79</v>
      </c>
      <c r="C63" s="8"/>
      <c r="D63" s="8"/>
      <c r="E63" s="8"/>
      <c r="F63" s="16">
        <f>-F61*0.075</f>
        <v>-324117</v>
      </c>
      <c r="G63" s="16">
        <f t="shared" ref="G63:L63" si="11">-(1-G33)*G61</f>
        <v>-474553.79999999987</v>
      </c>
      <c r="H63" s="16">
        <f t="shared" si="11"/>
        <v>-492985.0199999999</v>
      </c>
      <c r="I63" s="16">
        <f t="shared" si="11"/>
        <v>-513676.0199999999</v>
      </c>
      <c r="J63" s="16">
        <f t="shared" si="11"/>
        <v>-253151.34000000023</v>
      </c>
      <c r="K63" s="16">
        <f t="shared" si="11"/>
        <v>-253151.34000000023</v>
      </c>
      <c r="L63" s="16">
        <f t="shared" si="11"/>
        <v>-253151.34000000023</v>
      </c>
    </row>
    <row r="64" spans="2:12" ht="14.1" customHeight="1">
      <c r="B64" s="2" t="s">
        <v>80</v>
      </c>
      <c r="C64" s="2"/>
      <c r="D64" s="2"/>
      <c r="E64" s="2"/>
      <c r="F64" s="17">
        <f>SUM(F61:F63)</f>
        <v>3997443</v>
      </c>
      <c r="G64" s="17">
        <f>SUM(G61:G63)</f>
        <v>4270984.2</v>
      </c>
      <c r="H64" s="17">
        <f t="shared" ref="H64:L64" si="12">SUM(H61:H63)</f>
        <v>4436865.1800000006</v>
      </c>
      <c r="I64" s="17">
        <f t="shared" si="12"/>
        <v>4623084.1800000006</v>
      </c>
      <c r="J64" s="17">
        <f t="shared" si="12"/>
        <v>4809875.46</v>
      </c>
      <c r="K64" s="17">
        <f t="shared" si="12"/>
        <v>4809875.46</v>
      </c>
      <c r="L64" s="17">
        <f t="shared" si="12"/>
        <v>4809875.46</v>
      </c>
    </row>
    <row r="65" spans="2:12" ht="14.1" customHeight="1">
      <c r="F65" s="15"/>
      <c r="G65" s="15"/>
      <c r="H65" s="15"/>
      <c r="I65" s="15"/>
      <c r="J65" s="15"/>
      <c r="K65" s="15"/>
      <c r="L65" s="15"/>
    </row>
    <row r="66" spans="2:12" ht="14.1" customHeight="1">
      <c r="B66" s="18" t="str">
        <f t="shared" ref="B66:B73" si="13">B36</f>
        <v>Management Fees</v>
      </c>
      <c r="D66" s="19">
        <v>-2.5000000000000001E-2</v>
      </c>
      <c r="F66" s="15">
        <f>$D$66*F64</f>
        <v>-99936.075000000012</v>
      </c>
      <c r="G66" s="15">
        <f>$D$66*G64</f>
        <v>-106774.60500000001</v>
      </c>
      <c r="H66" s="15">
        <f t="shared" ref="H66:L66" si="14">$D$66*H64</f>
        <v>-110921.62950000002</v>
      </c>
      <c r="I66" s="15">
        <f t="shared" si="14"/>
        <v>-115577.10450000002</v>
      </c>
      <c r="J66" s="15">
        <f t="shared" si="14"/>
        <v>-120246.88650000001</v>
      </c>
      <c r="K66" s="15">
        <f t="shared" si="14"/>
        <v>-120246.88650000001</v>
      </c>
      <c r="L66" s="15">
        <f t="shared" si="14"/>
        <v>-120246.88650000001</v>
      </c>
    </row>
    <row r="67" spans="2:12" ht="14.1" customHeight="1">
      <c r="B67" s="18" t="str">
        <f t="shared" si="13"/>
        <v>Payroll</v>
      </c>
      <c r="D67" s="12">
        <v>-265000</v>
      </c>
      <c r="F67" s="15">
        <f>D67</f>
        <v>-265000</v>
      </c>
      <c r="G67" s="15">
        <f t="shared" ref="G67:L73" si="15">F67*(1+G37)</f>
        <v>-272950</v>
      </c>
      <c r="H67" s="15">
        <f t="shared" si="15"/>
        <v>-281138.5</v>
      </c>
      <c r="I67" s="15">
        <f t="shared" si="15"/>
        <v>-289572.65500000003</v>
      </c>
      <c r="J67" s="15">
        <f t="shared" si="15"/>
        <v>-298259.83465000003</v>
      </c>
      <c r="K67" s="15">
        <f t="shared" si="15"/>
        <v>-307207.62968950003</v>
      </c>
      <c r="L67" s="15">
        <f t="shared" si="15"/>
        <v>-316423.85858018504</v>
      </c>
    </row>
    <row r="68" spans="2:12" ht="14.1" customHeight="1">
      <c r="B68" s="18" t="str">
        <f t="shared" si="13"/>
        <v>Marketing &amp; Promotion</v>
      </c>
      <c r="D68" s="12">
        <v>-55000</v>
      </c>
      <c r="F68" s="15">
        <f t="shared" ref="F68:F71" si="16">D68</f>
        <v>-55000</v>
      </c>
      <c r="G68" s="15">
        <f t="shared" si="15"/>
        <v>-56650</v>
      </c>
      <c r="H68" s="15">
        <f t="shared" si="15"/>
        <v>-58349.5</v>
      </c>
      <c r="I68" s="15">
        <f t="shared" si="15"/>
        <v>-60099.985000000001</v>
      </c>
      <c r="J68" s="15">
        <f t="shared" si="15"/>
        <v>-61902.984550000001</v>
      </c>
      <c r="K68" s="15">
        <f t="shared" si="15"/>
        <v>-63760.074086500004</v>
      </c>
      <c r="L68" s="15">
        <f t="shared" si="15"/>
        <v>-65672.876309095009</v>
      </c>
    </row>
    <row r="69" spans="2:12" ht="14.1" customHeight="1">
      <c r="B69" s="18" t="str">
        <f t="shared" si="13"/>
        <v>General &amp; Administrative</v>
      </c>
      <c r="D69" s="12">
        <v>-22000</v>
      </c>
      <c r="F69" s="15">
        <f t="shared" si="16"/>
        <v>-22000</v>
      </c>
      <c r="G69" s="15">
        <f t="shared" si="15"/>
        <v>-22660</v>
      </c>
      <c r="H69" s="15">
        <f t="shared" si="15"/>
        <v>-23339.8</v>
      </c>
      <c r="I69" s="15">
        <f t="shared" si="15"/>
        <v>-24039.993999999999</v>
      </c>
      <c r="J69" s="15">
        <f t="shared" si="15"/>
        <v>-24761.19382</v>
      </c>
      <c r="K69" s="15">
        <f t="shared" si="15"/>
        <v>-25504.0296346</v>
      </c>
      <c r="L69" s="15">
        <f t="shared" si="15"/>
        <v>-26269.150523638</v>
      </c>
    </row>
    <row r="70" spans="2:12" ht="14.1" customHeight="1">
      <c r="B70" s="18" t="str">
        <f t="shared" si="13"/>
        <v>Utilities</v>
      </c>
      <c r="D70" s="12">
        <v>-94000</v>
      </c>
      <c r="F70" s="15">
        <f t="shared" si="16"/>
        <v>-94000</v>
      </c>
      <c r="G70" s="15">
        <f t="shared" si="15"/>
        <v>-98230</v>
      </c>
      <c r="H70" s="15">
        <f t="shared" si="15"/>
        <v>-102650.34999999999</v>
      </c>
      <c r="I70" s="15">
        <f t="shared" si="15"/>
        <v>-107269.61574999998</v>
      </c>
      <c r="J70" s="15">
        <f t="shared" si="15"/>
        <v>-110487.70422249999</v>
      </c>
      <c r="K70" s="15">
        <f t="shared" si="15"/>
        <v>-113802.33534917499</v>
      </c>
      <c r="L70" s="15">
        <f t="shared" si="15"/>
        <v>-117216.40540965024</v>
      </c>
    </row>
    <row r="71" spans="2:12" ht="14.1" customHeight="1">
      <c r="B71" s="18" t="str">
        <f t="shared" si="13"/>
        <v>Repairs &amp; Maintenance</v>
      </c>
      <c r="D71" s="12">
        <v>-90000</v>
      </c>
      <c r="F71" s="15">
        <f t="shared" si="16"/>
        <v>-90000</v>
      </c>
      <c r="G71" s="15">
        <f t="shared" si="15"/>
        <v>-92700</v>
      </c>
      <c r="H71" s="15">
        <f t="shared" si="15"/>
        <v>-95481</v>
      </c>
      <c r="I71" s="15">
        <f t="shared" si="15"/>
        <v>-98345.430000000008</v>
      </c>
      <c r="J71" s="15">
        <f t="shared" si="15"/>
        <v>-101295.79290000001</v>
      </c>
      <c r="K71" s="15">
        <f t="shared" si="15"/>
        <v>-104334.66668700002</v>
      </c>
      <c r="L71" s="15">
        <f t="shared" si="15"/>
        <v>-107464.70668761003</v>
      </c>
    </row>
    <row r="72" spans="2:12" ht="14.1" customHeight="1">
      <c r="B72" s="18" t="str">
        <f t="shared" si="13"/>
        <v>Property Taxes</v>
      </c>
      <c r="D72" s="20">
        <v>-1.175E-2</v>
      </c>
      <c r="F72" s="15">
        <f>D72*H11</f>
        <v>-543710.51634999458</v>
      </c>
      <c r="G72" s="15">
        <f t="shared" si="15"/>
        <v>-557303.27925874444</v>
      </c>
      <c r="H72" s="15">
        <f t="shared" si="15"/>
        <v>-571235.86124021304</v>
      </c>
      <c r="I72" s="15">
        <f t="shared" si="15"/>
        <v>-585516.75777121831</v>
      </c>
      <c r="J72" s="15">
        <f t="shared" si="15"/>
        <v>-600154.67671549867</v>
      </c>
      <c r="K72" s="15">
        <f t="shared" si="15"/>
        <v>-615158.54363338614</v>
      </c>
      <c r="L72" s="15">
        <f t="shared" si="15"/>
        <v>-630537.50722422078</v>
      </c>
    </row>
    <row r="73" spans="2:12" ht="14.1" customHeight="1">
      <c r="B73" s="21" t="str">
        <f t="shared" si="13"/>
        <v>Insurance</v>
      </c>
      <c r="C73" s="8"/>
      <c r="D73" s="33">
        <v>-45000</v>
      </c>
      <c r="E73" s="8"/>
      <c r="F73" s="16">
        <f t="shared" ref="F73" si="17">D73</f>
        <v>-45000</v>
      </c>
      <c r="G73" s="16">
        <f t="shared" si="15"/>
        <v>-47025</v>
      </c>
      <c r="H73" s="16">
        <f t="shared" si="15"/>
        <v>-49141.125</v>
      </c>
      <c r="I73" s="16">
        <f t="shared" si="15"/>
        <v>-51352.475624999999</v>
      </c>
      <c r="J73" s="16">
        <f t="shared" si="15"/>
        <v>-52893.049893750002</v>
      </c>
      <c r="K73" s="16">
        <f t="shared" si="15"/>
        <v>-54479.841390562506</v>
      </c>
      <c r="L73" s="16">
        <f t="shared" si="15"/>
        <v>-56114.236632279382</v>
      </c>
    </row>
    <row r="74" spans="2:12" ht="14.1" customHeight="1">
      <c r="B74" s="22" t="s">
        <v>81</v>
      </c>
      <c r="C74" s="2"/>
      <c r="D74" s="2"/>
      <c r="E74" s="2"/>
      <c r="F74" s="17">
        <f>SUM(F66:F73)</f>
        <v>-1214646.5913499945</v>
      </c>
      <c r="G74" s="17">
        <f>SUM(G66:G73)</f>
        <v>-1254292.8842587443</v>
      </c>
      <c r="H74" s="17">
        <f t="shared" ref="H74:L74" si="18">SUM(H66:H73)</f>
        <v>-1292257.765740213</v>
      </c>
      <c r="I74" s="17">
        <f t="shared" si="18"/>
        <v>-1331774.0176462182</v>
      </c>
      <c r="J74" s="17">
        <f t="shared" si="18"/>
        <v>-1370002.123251749</v>
      </c>
      <c r="K74" s="17">
        <f t="shared" si="18"/>
        <v>-1404494.0069707239</v>
      </c>
      <c r="L74" s="17">
        <f t="shared" si="18"/>
        <v>-1439945.6278666786</v>
      </c>
    </row>
    <row r="75" spans="2:12" ht="14.1" customHeight="1">
      <c r="B75" s="2" t="s">
        <v>82</v>
      </c>
      <c r="C75" s="2"/>
      <c r="D75" s="2"/>
      <c r="E75" s="2"/>
      <c r="F75" s="2"/>
      <c r="G75" s="54">
        <f>-G74/G64</f>
        <v>0.29367771584328134</v>
      </c>
      <c r="H75" s="54">
        <f t="shared" ref="H75:L75" si="19">-H74/H64</f>
        <v>0.29125468395237847</v>
      </c>
      <c r="I75" s="54">
        <f t="shared" si="19"/>
        <v>0.2880704667692679</v>
      </c>
      <c r="J75" s="54">
        <f t="shared" si="19"/>
        <v>0.28483110106384107</v>
      </c>
      <c r="K75" s="54">
        <f t="shared" si="19"/>
        <v>0.29200215653207867</v>
      </c>
      <c r="L75" s="54">
        <f t="shared" si="19"/>
        <v>0.29937274672527148</v>
      </c>
    </row>
    <row r="76" spans="2:12" ht="14.1" customHeight="1">
      <c r="B76" s="22"/>
      <c r="C76" s="2"/>
      <c r="D76" s="2"/>
      <c r="E76" s="2"/>
      <c r="F76" s="17"/>
      <c r="G76" s="17"/>
      <c r="H76" s="17"/>
      <c r="I76" s="17"/>
      <c r="J76" s="17"/>
      <c r="K76" s="17"/>
      <c r="L76" s="17"/>
    </row>
    <row r="77" spans="2:12" ht="14.1" customHeight="1">
      <c r="B77" s="23" t="s">
        <v>83</v>
      </c>
      <c r="C77" s="24"/>
      <c r="D77" s="24"/>
      <c r="E77" s="24"/>
      <c r="F77" s="25">
        <f>SUM(F64,F74)</f>
        <v>2782796.4086500052</v>
      </c>
      <c r="G77" s="25">
        <f>SUM(G64,G74)</f>
        <v>3016691.3157412559</v>
      </c>
      <c r="H77" s="25">
        <f t="shared" ref="H77:L77" si="20">SUM(H64,H74)</f>
        <v>3144607.4142597876</v>
      </c>
      <c r="I77" s="25">
        <f t="shared" si="20"/>
        <v>3291310.1623537824</v>
      </c>
      <c r="J77" s="25">
        <f t="shared" si="20"/>
        <v>3439873.3367482508</v>
      </c>
      <c r="K77" s="25">
        <f t="shared" si="20"/>
        <v>3405381.4530292759</v>
      </c>
      <c r="L77" s="25">
        <f t="shared" si="20"/>
        <v>3369929.8321333211</v>
      </c>
    </row>
    <row r="78" spans="2:12" ht="14.1" customHeight="1">
      <c r="F78" s="15"/>
      <c r="G78" s="15"/>
      <c r="H78" s="15"/>
      <c r="I78" s="15"/>
      <c r="J78" s="15"/>
      <c r="K78" s="15"/>
      <c r="L78" s="15"/>
    </row>
    <row r="79" spans="2:12" ht="14.1" customHeight="1">
      <c r="B79" s="18" t="s">
        <v>84</v>
      </c>
      <c r="F79" s="15"/>
      <c r="G79" s="15">
        <f>-G45*$L$10</f>
        <v>-1100000</v>
      </c>
      <c r="H79" s="15">
        <f>-H45*$L$10</f>
        <v>-1100000</v>
      </c>
      <c r="I79" s="15">
        <f>-I45*$L$10</f>
        <v>-1100000</v>
      </c>
      <c r="J79" s="15">
        <f>-J45*$L$10</f>
        <v>0</v>
      </c>
      <c r="K79" s="15">
        <f>-K45*$L$10</f>
        <v>0</v>
      </c>
      <c r="L79" s="15"/>
    </row>
    <row r="80" spans="2:12" ht="14.1" customHeight="1">
      <c r="B80" s="21" t="s">
        <v>85</v>
      </c>
      <c r="C80" s="8"/>
      <c r="D80" s="8"/>
      <c r="E80" s="8"/>
      <c r="F80" s="16"/>
      <c r="G80" s="16">
        <f>-$D$10*$L$16</f>
        <v>-39600</v>
      </c>
      <c r="H80" s="16">
        <f>-$D$10*$L$16</f>
        <v>-39600</v>
      </c>
      <c r="I80" s="16">
        <f>-$D$10*$L$16</f>
        <v>-39600</v>
      </c>
      <c r="J80" s="16">
        <f>-$D$10*$L$16</f>
        <v>-39600</v>
      </c>
      <c r="K80" s="16">
        <f>-$D$10*$L$16</f>
        <v>-39600</v>
      </c>
      <c r="L80" s="15"/>
    </row>
    <row r="81" spans="2:12" ht="14.1" customHeight="1">
      <c r="B81" s="23" t="s">
        <v>86</v>
      </c>
      <c r="C81" s="24"/>
      <c r="D81" s="24"/>
      <c r="E81" s="24"/>
      <c r="F81" s="25"/>
      <c r="G81" s="25">
        <f>SUM(G77:G80)</f>
        <v>1877091.3157412559</v>
      </c>
      <c r="H81" s="25">
        <f t="shared" ref="H81:K81" si="21">SUM(H77:H80)</f>
        <v>2005007.4142597876</v>
      </c>
      <c r="I81" s="25">
        <f t="shared" si="21"/>
        <v>2151710.1623537824</v>
      </c>
      <c r="J81" s="25">
        <f t="shared" si="21"/>
        <v>3400273.3367482508</v>
      </c>
      <c r="K81" s="25">
        <f t="shared" si="21"/>
        <v>3365781.4530292759</v>
      </c>
      <c r="L81" s="15"/>
    </row>
    <row r="82" spans="2:12" ht="14.1" customHeight="1">
      <c r="F82" s="15"/>
      <c r="G82" s="15"/>
      <c r="H82" s="15"/>
      <c r="I82" s="15"/>
      <c r="J82" s="15"/>
      <c r="K82" s="15"/>
      <c r="L82" s="15"/>
    </row>
    <row r="83" spans="2:12" ht="14.1" customHeight="1">
      <c r="B83" s="18" t="s">
        <v>87</v>
      </c>
      <c r="F83" s="50">
        <f>-$H$11</f>
        <v>-46273235.434042089</v>
      </c>
      <c r="G83" s="53"/>
      <c r="H83" s="53"/>
      <c r="I83" s="53"/>
      <c r="J83" s="53"/>
      <c r="K83" s="53"/>
      <c r="L83" s="15"/>
    </row>
    <row r="84" spans="2:12" ht="14.1" customHeight="1">
      <c r="B84" s="1" t="s">
        <v>88</v>
      </c>
      <c r="F84" s="15"/>
      <c r="G84" s="5">
        <f>IF(G52=$H$14,H77/$H$15,0)</f>
        <v>0</v>
      </c>
      <c r="H84" s="5">
        <f t="shared" ref="H84:K84" si="22">IF(H52=$H$14,I77/$H$15,0)</f>
        <v>0</v>
      </c>
      <c r="I84" s="5">
        <f t="shared" si="22"/>
        <v>0</v>
      </c>
      <c r="J84" s="5">
        <f t="shared" si="22"/>
        <v>0</v>
      </c>
      <c r="K84" s="5">
        <f t="shared" si="22"/>
        <v>61271451.493333109</v>
      </c>
      <c r="L84" s="15"/>
    </row>
    <row r="85" spans="2:12" ht="14.1" customHeight="1">
      <c r="B85" s="24" t="s">
        <v>89</v>
      </c>
      <c r="C85" s="24"/>
      <c r="D85" s="24"/>
      <c r="E85" s="24"/>
      <c r="F85" s="35">
        <f>SUM(F81:F84)</f>
        <v>-46273235.434042089</v>
      </c>
      <c r="G85" s="35">
        <f t="shared" ref="G85:K85" si="23">SUM(G81:G84)</f>
        <v>1877091.3157412559</v>
      </c>
      <c r="H85" s="35">
        <f t="shared" si="23"/>
        <v>2005007.4142597876</v>
      </c>
      <c r="I85" s="35">
        <f t="shared" si="23"/>
        <v>2151710.1623537824</v>
      </c>
      <c r="J85" s="35">
        <f t="shared" si="23"/>
        <v>3400273.3367482508</v>
      </c>
      <c r="K85" s="35">
        <f t="shared" si="23"/>
        <v>64637232.946362384</v>
      </c>
      <c r="L85" s="15"/>
    </row>
    <row r="86" spans="2:12" ht="14.1" customHeight="1">
      <c r="F86" s="15"/>
      <c r="G86" s="15"/>
      <c r="H86" s="15"/>
      <c r="I86" s="15"/>
      <c r="J86" s="15"/>
      <c r="K86" s="15"/>
      <c r="L86" s="15"/>
    </row>
    <row r="87" spans="2:12" ht="14.1" customHeight="1">
      <c r="B87" s="1" t="s">
        <v>90</v>
      </c>
      <c r="G87" s="5">
        <f>-$D$17</f>
        <v>-1479471.0199149104</v>
      </c>
      <c r="H87" s="5">
        <f t="shared" ref="H87:K87" si="24">-$D$17</f>
        <v>-1479471.0199149104</v>
      </c>
      <c r="I87" s="5">
        <f t="shared" si="24"/>
        <v>-1479471.0199149104</v>
      </c>
      <c r="J87" s="5">
        <f t="shared" si="24"/>
        <v>-1479471.0199149104</v>
      </c>
      <c r="K87" s="5">
        <f t="shared" si="24"/>
        <v>-1479471.0199149104</v>
      </c>
    </row>
    <row r="88" spans="2:12" ht="14.1" customHeight="1">
      <c r="B88" s="23" t="s">
        <v>91</v>
      </c>
      <c r="C88" s="24"/>
      <c r="D88" s="24"/>
      <c r="E88" s="24"/>
      <c r="F88" s="25"/>
      <c r="G88" s="56">
        <f>SUM(G81,G87)</f>
        <v>397620.29582634545</v>
      </c>
      <c r="H88" s="25">
        <f t="shared" ref="H88:K88" si="25">SUM(H81,H87)</f>
        <v>525536.39434487722</v>
      </c>
      <c r="I88" s="25">
        <f t="shared" si="25"/>
        <v>672239.14243887202</v>
      </c>
      <c r="J88" s="25">
        <f t="shared" si="25"/>
        <v>1920802.3168333403</v>
      </c>
      <c r="K88" s="25">
        <f t="shared" si="25"/>
        <v>1886310.4331143654</v>
      </c>
    </row>
    <row r="89" spans="2:12" ht="14.1" customHeight="1">
      <c r="B89" s="22" t="s">
        <v>92</v>
      </c>
      <c r="C89" s="2"/>
      <c r="D89" s="2"/>
      <c r="E89" s="2"/>
      <c r="F89" s="53"/>
      <c r="G89" s="57">
        <f>-G77/G87</f>
        <v>2.0390337324179262</v>
      </c>
      <c r="H89" s="57">
        <f t="shared" ref="H89:K89" si="26">-H77/H87</f>
        <v>2.1254944314087645</v>
      </c>
      <c r="I89" s="57">
        <f t="shared" si="26"/>
        <v>2.2246533511302418</v>
      </c>
      <c r="J89" s="57">
        <f t="shared" si="26"/>
        <v>2.3250697651016443</v>
      </c>
      <c r="K89" s="57">
        <f t="shared" si="26"/>
        <v>2.301756105520155</v>
      </c>
    </row>
    <row r="90" spans="2:12" ht="14.1" customHeight="1">
      <c r="B90" s="22"/>
      <c r="C90" s="2"/>
      <c r="D90" s="2"/>
      <c r="E90" s="2"/>
      <c r="F90" s="53"/>
      <c r="G90" s="53"/>
      <c r="H90" s="53"/>
      <c r="I90" s="53"/>
      <c r="J90" s="53"/>
      <c r="K90" s="53"/>
    </row>
    <row r="91" spans="2:12" ht="14.1" customHeight="1">
      <c r="B91" s="18" t="s">
        <v>87</v>
      </c>
      <c r="C91" s="2"/>
      <c r="D91" s="2"/>
      <c r="E91" s="2"/>
      <c r="F91" s="50">
        <f>-$H$11</f>
        <v>-46273235.434042089</v>
      </c>
      <c r="G91" s="53"/>
      <c r="H91" s="53"/>
      <c r="I91" s="53"/>
      <c r="J91" s="53"/>
      <c r="K91" s="53"/>
    </row>
    <row r="92" spans="2:12" ht="14.1" customHeight="1">
      <c r="B92" s="1" t="s">
        <v>93</v>
      </c>
      <c r="F92" s="5">
        <f>D15</f>
        <v>28180400.37933163</v>
      </c>
    </row>
    <row r="93" spans="2:12" ht="14.1" customHeight="1">
      <c r="B93" s="1" t="s">
        <v>94</v>
      </c>
      <c r="F93" s="5">
        <f>-SUM(D18:D19)</f>
        <v>-1116804.5372006057</v>
      </c>
      <c r="G93" s="5"/>
      <c r="H93" s="34"/>
      <c r="I93" s="34"/>
      <c r="J93" s="34"/>
      <c r="K93" s="34"/>
    </row>
    <row r="94" spans="2:12" ht="14.1" customHeight="1">
      <c r="B94" s="1" t="s">
        <v>88</v>
      </c>
      <c r="F94" s="5"/>
      <c r="G94" s="5">
        <f>IF(G52=$H$14,H77/$H$15,0)</f>
        <v>0</v>
      </c>
      <c r="H94" s="5">
        <f t="shared" ref="H94:K94" si="27">IF(H52=$H$14,I77/$H$15,0)</f>
        <v>0</v>
      </c>
      <c r="I94" s="5">
        <f t="shared" si="27"/>
        <v>0</v>
      </c>
      <c r="J94" s="5">
        <f t="shared" si="27"/>
        <v>0</v>
      </c>
      <c r="K94" s="5">
        <f t="shared" si="27"/>
        <v>61271451.493333109</v>
      </c>
    </row>
    <row r="95" spans="2:12" ht="14.1" customHeight="1">
      <c r="B95" s="1" t="s">
        <v>95</v>
      </c>
      <c r="F95" s="5"/>
      <c r="G95" s="5">
        <f>-G94*$H$17</f>
        <v>0</v>
      </c>
      <c r="H95" s="5">
        <f t="shared" ref="H95:K95" si="28">-H94*$H$17</f>
        <v>0</v>
      </c>
      <c r="I95" s="5">
        <f t="shared" si="28"/>
        <v>0</v>
      </c>
      <c r="J95" s="5">
        <f t="shared" si="28"/>
        <v>0</v>
      </c>
      <c r="K95" s="5">
        <f t="shared" si="28"/>
        <v>-919071.77239999664</v>
      </c>
    </row>
    <row r="96" spans="2:12" ht="14.1" customHeight="1">
      <c r="B96" s="8" t="s">
        <v>96</v>
      </c>
      <c r="C96" s="8"/>
      <c r="D96" s="8"/>
      <c r="E96" s="8"/>
      <c r="F96" s="8"/>
      <c r="G96" s="55">
        <f>IF(G52=$H$14,-$F$92,0)</f>
        <v>0</v>
      </c>
      <c r="H96" s="55">
        <f t="shared" ref="H96:K96" si="29">IF(H52=$H$14,-$F$92,0)</f>
        <v>0</v>
      </c>
      <c r="I96" s="55">
        <f t="shared" si="29"/>
        <v>0</v>
      </c>
      <c r="J96" s="55">
        <f t="shared" si="29"/>
        <v>0</v>
      </c>
      <c r="K96" s="55">
        <f t="shared" si="29"/>
        <v>-28180400.37933163</v>
      </c>
    </row>
    <row r="97" spans="2:12" ht="14.1" customHeight="1">
      <c r="B97" s="24" t="s">
        <v>97</v>
      </c>
      <c r="C97" s="24"/>
      <c r="D97" s="24"/>
      <c r="E97" s="24"/>
      <c r="F97" s="35">
        <f>SUM(F88:F96)</f>
        <v>-19209639.591911066</v>
      </c>
      <c r="G97" s="35">
        <f t="shared" ref="G97:K97" si="30">SUM(G88:G96)</f>
        <v>397622.33486007788</v>
      </c>
      <c r="H97" s="35">
        <f t="shared" si="30"/>
        <v>525538.51983930857</v>
      </c>
      <c r="I97" s="35">
        <f t="shared" si="30"/>
        <v>672241.36709222314</v>
      </c>
      <c r="J97" s="35">
        <f t="shared" si="30"/>
        <v>1920804.6419031054</v>
      </c>
      <c r="K97" s="35">
        <f t="shared" si="30"/>
        <v>34058292.076471955</v>
      </c>
    </row>
    <row r="99" spans="2:12" ht="14.1" customHeight="1">
      <c r="B99" s="36" t="s">
        <v>98</v>
      </c>
      <c r="C99" s="37"/>
      <c r="D99" s="38">
        <f>-SUMIF(F97:K97,"&lt;0")</f>
        <v>19209639.591911066</v>
      </c>
    </row>
    <row r="100" spans="2:12" ht="14.1" customHeight="1">
      <c r="B100" s="42" t="s">
        <v>99</v>
      </c>
      <c r="C100" s="40"/>
      <c r="D100" s="41">
        <f>F77/H11</f>
        <v>6.0138358222575676E-2</v>
      </c>
      <c r="F100" s="34"/>
    </row>
    <row r="101" spans="2:12" ht="14.1" customHeight="1">
      <c r="B101" s="42" t="s">
        <v>27</v>
      </c>
      <c r="C101" s="40"/>
      <c r="D101" s="41">
        <f>H15</f>
        <v>5.5E-2</v>
      </c>
      <c r="I101" s="2"/>
    </row>
    <row r="102" spans="2:12" ht="14.1" customHeight="1">
      <c r="B102" s="42" t="s">
        <v>100</v>
      </c>
      <c r="C102" s="40"/>
      <c r="D102" s="41">
        <f>XIRR(F85:K85,$F$52:$K$52)</f>
        <v>0.10585690140724183</v>
      </c>
      <c r="K102" s="5"/>
    </row>
    <row r="103" spans="2:12" ht="14.1" customHeight="1">
      <c r="B103" s="39" t="s">
        <v>101</v>
      </c>
      <c r="C103" s="40"/>
      <c r="D103" s="41">
        <f>XIRR(F97:K97,$F$52:$K$52)</f>
        <v>0.14999780058860779</v>
      </c>
      <c r="K103" s="5"/>
    </row>
    <row r="104" spans="2:12" ht="14.1" customHeight="1">
      <c r="B104" s="39" t="s">
        <v>102</v>
      </c>
      <c r="C104" s="40"/>
      <c r="D104" s="41">
        <f>J77/-SUM(F91,F93,G79:J80)</f>
        <v>6.7649535338619421E-2</v>
      </c>
    </row>
    <row r="105" spans="2:12" ht="14.1" customHeight="1">
      <c r="B105" s="42" t="s">
        <v>103</v>
      </c>
      <c r="C105" s="40"/>
      <c r="D105" s="43">
        <f>SUM(F97:K97)</f>
        <v>18364859.348255605</v>
      </c>
    </row>
    <row r="106" spans="2:12" ht="14.1" customHeight="1">
      <c r="B106" s="44" t="s">
        <v>104</v>
      </c>
      <c r="C106" s="45"/>
      <c r="D106" s="73">
        <f>SUMIF(F97:K97,"&gt;0")/D99</f>
        <v>1.9560231081060369</v>
      </c>
    </row>
    <row r="109" spans="2:12" ht="14.1" customHeight="1">
      <c r="B109" s="30" t="s">
        <v>105</v>
      </c>
      <c r="C109" s="31"/>
      <c r="D109" s="31"/>
      <c r="E109" s="31"/>
      <c r="F109" s="31"/>
      <c r="G109" s="31"/>
      <c r="H109" s="31"/>
      <c r="I109" s="31"/>
      <c r="J109" s="31"/>
      <c r="K109" s="31"/>
      <c r="L109" s="31"/>
    </row>
    <row r="110" spans="2:12" ht="14.1" customHeight="1">
      <c r="B110" s="2"/>
    </row>
    <row r="111" spans="2:12" ht="14.1" customHeight="1">
      <c r="B111" s="8" t="s">
        <v>106</v>
      </c>
      <c r="C111" s="8"/>
      <c r="D111" s="65" t="s">
        <v>107</v>
      </c>
      <c r="E111" s="65" t="s">
        <v>108</v>
      </c>
      <c r="G111" s="8" t="s">
        <v>109</v>
      </c>
      <c r="H111" s="8"/>
      <c r="I111" s="65" t="s">
        <v>110</v>
      </c>
      <c r="J111" s="65" t="s">
        <v>111</v>
      </c>
      <c r="K111" s="8" t="s">
        <v>112</v>
      </c>
    </row>
    <row r="112" spans="2:12" ht="14.1" customHeight="1">
      <c r="B112" s="1" t="s">
        <v>113</v>
      </c>
      <c r="C112" s="1" t="s">
        <v>110</v>
      </c>
      <c r="D112" s="66">
        <f>1-D113</f>
        <v>0.95</v>
      </c>
      <c r="E112" s="5">
        <f>D112*$D$99</f>
        <v>18249157.612315513</v>
      </c>
      <c r="G112" s="1" t="s">
        <v>114</v>
      </c>
      <c r="I112" s="72">
        <f>D112</f>
        <v>0.95</v>
      </c>
      <c r="J112" s="72">
        <f>D113</f>
        <v>0.05</v>
      </c>
      <c r="K112" s="70">
        <v>0.09</v>
      </c>
    </row>
    <row r="113" spans="2:11" ht="14.1" customHeight="1">
      <c r="B113" s="74" t="s">
        <v>115</v>
      </c>
      <c r="C113" s="8" t="s">
        <v>111</v>
      </c>
      <c r="D113" s="68">
        <v>0.05</v>
      </c>
      <c r="E113" s="55">
        <f>D113*$D$99</f>
        <v>960481.97959555336</v>
      </c>
      <c r="G113" s="1" t="s">
        <v>116</v>
      </c>
      <c r="I113" s="72">
        <f>1-J113</f>
        <v>0.85</v>
      </c>
      <c r="J113" s="70">
        <v>0.15</v>
      </c>
      <c r="K113" s="70">
        <v>0.12</v>
      </c>
    </row>
    <row r="114" spans="2:11" ht="14.1" customHeight="1">
      <c r="B114" s="1" t="s">
        <v>117</v>
      </c>
      <c r="D114" s="67">
        <f>SUM(D112:D113)</f>
        <v>1</v>
      </c>
      <c r="E114" s="5">
        <f>SUM(E112:E113)</f>
        <v>19209639.591911066</v>
      </c>
      <c r="G114" s="1" t="s">
        <v>118</v>
      </c>
      <c r="I114" s="72">
        <f>1-J114</f>
        <v>0.75</v>
      </c>
      <c r="J114" s="70">
        <v>0.25</v>
      </c>
      <c r="K114" s="71"/>
    </row>
    <row r="115" spans="2:11" ht="14.1" customHeight="1">
      <c r="D115" s="26"/>
    </row>
    <row r="116" spans="2:11" ht="14.1" customHeight="1">
      <c r="D116" s="26"/>
    </row>
    <row r="117" spans="2:11" ht="14.1" customHeight="1">
      <c r="D117" s="26"/>
      <c r="F117" s="9" t="str">
        <f>$F$51</f>
        <v>Year 0</v>
      </c>
      <c r="G117" s="9" t="str">
        <f>$G$51</f>
        <v>Year 1</v>
      </c>
      <c r="H117" s="9" t="str">
        <f>$H$51</f>
        <v>Year 2</v>
      </c>
      <c r="I117" s="9" t="str">
        <f>$I$51</f>
        <v>Year 3</v>
      </c>
      <c r="J117" s="9" t="str">
        <f>$J$51</f>
        <v>Year 4</v>
      </c>
      <c r="K117" s="9" t="str">
        <f>$K$51</f>
        <v>Year 5</v>
      </c>
    </row>
    <row r="118" spans="2:11" ht="14.1" customHeight="1">
      <c r="B118" s="1" t="str">
        <f>B97</f>
        <v>Levered Cash Flow</v>
      </c>
      <c r="D118" s="26"/>
      <c r="F118" s="5">
        <f t="shared" ref="F118:K118" si="31">F97</f>
        <v>-19209639.591911066</v>
      </c>
      <c r="G118" s="5">
        <f t="shared" si="31"/>
        <v>397622.33486007788</v>
      </c>
      <c r="H118" s="5">
        <f t="shared" si="31"/>
        <v>525538.51983930857</v>
      </c>
      <c r="I118" s="5">
        <f t="shared" si="31"/>
        <v>672241.36709222314</v>
      </c>
      <c r="J118" s="5">
        <f t="shared" si="31"/>
        <v>1920804.6419031054</v>
      </c>
      <c r="K118" s="5">
        <f t="shared" si="31"/>
        <v>34058292.076471955</v>
      </c>
    </row>
    <row r="119" spans="2:11" ht="14.1" customHeight="1">
      <c r="D119" s="26"/>
    </row>
    <row r="120" spans="2:11" ht="14.1" customHeight="1">
      <c r="B120" s="75" t="s">
        <v>119</v>
      </c>
      <c r="C120" s="8"/>
      <c r="D120" s="46"/>
      <c r="E120" s="8"/>
      <c r="F120" s="76" t="str">
        <f>$F$51</f>
        <v>Year 0</v>
      </c>
      <c r="G120" s="76" t="str">
        <f>$G$51</f>
        <v>Year 1</v>
      </c>
      <c r="H120" s="76" t="str">
        <f>$H$51</f>
        <v>Year 2</v>
      </c>
      <c r="I120" s="76" t="str">
        <f>$I$51</f>
        <v>Year 3</v>
      </c>
      <c r="J120" s="76" t="str">
        <f>$J$51</f>
        <v>Year 4</v>
      </c>
      <c r="K120" s="76" t="str">
        <f>$K$51</f>
        <v>Year 5</v>
      </c>
    </row>
    <row r="121" spans="2:11" ht="14.1" customHeight="1">
      <c r="B121" s="1" t="s">
        <v>120</v>
      </c>
      <c r="D121" s="69"/>
      <c r="E121" s="67"/>
      <c r="F121" s="5">
        <f>E125</f>
        <v>0</v>
      </c>
      <c r="G121" s="5">
        <f t="shared" ref="G121:K121" si="32">F125</f>
        <v>18249157.612315513</v>
      </c>
      <c r="H121" s="5">
        <f t="shared" si="32"/>
        <v>19513840.579306837</v>
      </c>
      <c r="I121" s="5">
        <f t="shared" si="32"/>
        <v>20770824.63759711</v>
      </c>
      <c r="J121" s="5">
        <f t="shared" si="32"/>
        <v>22001569.556243237</v>
      </c>
      <c r="K121" s="5">
        <f t="shared" si="32"/>
        <v>22156946.406497177</v>
      </c>
    </row>
    <row r="122" spans="2:11" ht="14.1" customHeight="1">
      <c r="B122" s="1" t="s">
        <v>121</v>
      </c>
      <c r="D122" s="26">
        <f>K112</f>
        <v>0.09</v>
      </c>
      <c r="F122" s="5">
        <f>F121*$D$122</f>
        <v>0</v>
      </c>
      <c r="G122" s="5">
        <f t="shared" ref="G122:K122" si="33">G121*$D$122</f>
        <v>1642424.1851083962</v>
      </c>
      <c r="H122" s="5">
        <f t="shared" si="33"/>
        <v>1756245.6521376153</v>
      </c>
      <c r="I122" s="5">
        <f t="shared" si="33"/>
        <v>1869374.2173837398</v>
      </c>
      <c r="J122" s="5">
        <f t="shared" si="33"/>
        <v>1980141.2600618913</v>
      </c>
      <c r="K122" s="5">
        <f t="shared" si="33"/>
        <v>1994125.1765847458</v>
      </c>
    </row>
    <row r="123" spans="2:11" ht="14.1" customHeight="1">
      <c r="B123" s="1" t="s">
        <v>122</v>
      </c>
      <c r="D123" s="26">
        <f>I112</f>
        <v>0.95</v>
      </c>
      <c r="F123" s="5">
        <f t="shared" ref="F123:K123" si="34">-MIN(F118,0)*$D$123</f>
        <v>18249157.612315513</v>
      </c>
      <c r="G123" s="5">
        <f t="shared" si="34"/>
        <v>0</v>
      </c>
      <c r="H123" s="5">
        <f t="shared" si="34"/>
        <v>0</v>
      </c>
      <c r="I123" s="5">
        <f t="shared" si="34"/>
        <v>0</v>
      </c>
      <c r="J123" s="5">
        <f t="shared" si="34"/>
        <v>0</v>
      </c>
      <c r="K123" s="5">
        <f t="shared" si="34"/>
        <v>0</v>
      </c>
    </row>
    <row r="124" spans="2:11" ht="14.1" customHeight="1">
      <c r="B124" s="1" t="s">
        <v>123</v>
      </c>
      <c r="D124" s="26">
        <f>I112</f>
        <v>0.95</v>
      </c>
      <c r="F124" s="5">
        <f t="shared" ref="F124:K124" si="35">MIN(MAX(F118,0)*$D$124,F121+F122)</f>
        <v>0</v>
      </c>
      <c r="G124" s="5">
        <f t="shared" si="35"/>
        <v>377741.21811707399</v>
      </c>
      <c r="H124" s="5">
        <f t="shared" si="35"/>
        <v>499261.59384734312</v>
      </c>
      <c r="I124" s="5">
        <f t="shared" si="35"/>
        <v>638629.29873761197</v>
      </c>
      <c r="J124" s="5">
        <f t="shared" si="35"/>
        <v>1824764.40980795</v>
      </c>
      <c r="K124" s="5">
        <f t="shared" si="35"/>
        <v>24151071.583081923</v>
      </c>
    </row>
    <row r="125" spans="2:11" ht="14.1" customHeight="1">
      <c r="B125" s="1" t="s">
        <v>124</v>
      </c>
      <c r="D125" s="26"/>
      <c r="F125" s="5">
        <f>SUM(F121:F123)-F124</f>
        <v>18249157.612315513</v>
      </c>
      <c r="G125" s="5">
        <f t="shared" ref="G125:K125" si="36">SUM(G121:G123)-G124</f>
        <v>19513840.579306837</v>
      </c>
      <c r="H125" s="5">
        <f t="shared" si="36"/>
        <v>20770824.63759711</v>
      </c>
      <c r="I125" s="5">
        <f t="shared" si="36"/>
        <v>22001569.556243237</v>
      </c>
      <c r="J125" s="5">
        <f t="shared" si="36"/>
        <v>22156946.406497177</v>
      </c>
      <c r="K125" s="5">
        <f t="shared" si="36"/>
        <v>0</v>
      </c>
    </row>
    <row r="126" spans="2:11" ht="14.1" customHeight="1">
      <c r="B126" s="1" t="s">
        <v>125</v>
      </c>
      <c r="D126" s="26">
        <f>D122</f>
        <v>0.09</v>
      </c>
      <c r="E126" s="83">
        <f>IRR(F126:K126)</f>
        <v>8.9999999999999858E-2</v>
      </c>
      <c r="F126" s="5">
        <f>-F123+F124</f>
        <v>-18249157.612315513</v>
      </c>
      <c r="G126" s="5">
        <f t="shared" ref="G126:K126" si="37">-G123+G124</f>
        <v>377741.21811707399</v>
      </c>
      <c r="H126" s="5">
        <f t="shared" si="37"/>
        <v>499261.59384734312</v>
      </c>
      <c r="I126" s="5">
        <f t="shared" si="37"/>
        <v>638629.29873761197</v>
      </c>
      <c r="J126" s="5">
        <f t="shared" si="37"/>
        <v>1824764.40980795</v>
      </c>
      <c r="K126" s="5">
        <f t="shared" si="37"/>
        <v>24151071.583081923</v>
      </c>
    </row>
    <row r="127" spans="2:11" ht="14.1" customHeight="1">
      <c r="D127" s="26"/>
      <c r="E127" s="84"/>
    </row>
    <row r="128" spans="2:11" ht="14.1" customHeight="1">
      <c r="B128" s="1" t="s">
        <v>126</v>
      </c>
      <c r="D128" s="26">
        <f>J112</f>
        <v>0.05</v>
      </c>
      <c r="E128" s="84"/>
      <c r="F128" s="5">
        <f t="shared" ref="F128:K128" si="38">-MIN(F118,0)*$D$128</f>
        <v>960481.97959555336</v>
      </c>
      <c r="G128" s="5">
        <f t="shared" si="38"/>
        <v>0</v>
      </c>
      <c r="H128" s="5">
        <f t="shared" si="38"/>
        <v>0</v>
      </c>
      <c r="I128" s="5">
        <f t="shared" si="38"/>
        <v>0</v>
      </c>
      <c r="J128" s="5">
        <f t="shared" si="38"/>
        <v>0</v>
      </c>
      <c r="K128" s="5">
        <f t="shared" si="38"/>
        <v>0</v>
      </c>
    </row>
    <row r="129" spans="2:11" ht="14.1" customHeight="1">
      <c r="B129" s="1" t="s">
        <v>127</v>
      </c>
      <c r="D129" s="26">
        <f>J112</f>
        <v>0.05</v>
      </c>
      <c r="E129" s="84"/>
      <c r="F129" s="5">
        <f>F124/$D$124*$D$129</f>
        <v>0</v>
      </c>
      <c r="G129" s="5">
        <f t="shared" ref="G129:K129" si="39">G124/$D$124*$D$129</f>
        <v>19881.116743003895</v>
      </c>
      <c r="H129" s="5">
        <f t="shared" si="39"/>
        <v>26276.925991965429</v>
      </c>
      <c r="I129" s="5">
        <f t="shared" si="39"/>
        <v>33612.068354611161</v>
      </c>
      <c r="J129" s="5">
        <f t="shared" si="39"/>
        <v>96040.232095155283</v>
      </c>
      <c r="K129" s="5">
        <f t="shared" si="39"/>
        <v>1271109.0306885224</v>
      </c>
    </row>
    <row r="130" spans="2:11" ht="14.1" customHeight="1">
      <c r="B130" s="1" t="s">
        <v>128</v>
      </c>
      <c r="D130" s="26">
        <f>D122</f>
        <v>0.09</v>
      </c>
      <c r="E130" s="83">
        <f>IRR(F130:K130)</f>
        <v>8.9999999999990532E-2</v>
      </c>
      <c r="F130" s="5">
        <f>-F128+F129</f>
        <v>-960481.97959555336</v>
      </c>
      <c r="G130" s="5">
        <f t="shared" ref="G130:K130" si="40">-G128+G129</f>
        <v>19881.116743003895</v>
      </c>
      <c r="H130" s="5">
        <f t="shared" si="40"/>
        <v>26276.925991965429</v>
      </c>
      <c r="I130" s="5">
        <f t="shared" si="40"/>
        <v>33612.068354611161</v>
      </c>
      <c r="J130" s="5">
        <f t="shared" si="40"/>
        <v>96040.232095155283</v>
      </c>
      <c r="K130" s="5">
        <f t="shared" si="40"/>
        <v>1271109.0306885224</v>
      </c>
    </row>
    <row r="131" spans="2:11" ht="14.1" customHeight="1">
      <c r="D131" s="26"/>
      <c r="E131" s="83"/>
      <c r="F131" s="5"/>
      <c r="G131" s="5"/>
      <c r="H131" s="5"/>
      <c r="I131" s="5"/>
      <c r="J131" s="5"/>
      <c r="K131" s="5"/>
    </row>
    <row r="132" spans="2:11" ht="14.1" customHeight="1">
      <c r="B132" s="1" t="s">
        <v>129</v>
      </c>
      <c r="D132" s="26"/>
      <c r="E132" s="83"/>
      <c r="F132" s="5">
        <f>F124+F129</f>
        <v>0</v>
      </c>
      <c r="G132" s="5">
        <f t="shared" ref="G132:K132" si="41">G124+G129</f>
        <v>397622.33486007788</v>
      </c>
      <c r="H132" s="5">
        <f t="shared" si="41"/>
        <v>525538.51983930857</v>
      </c>
      <c r="I132" s="5">
        <f t="shared" si="41"/>
        <v>672241.36709222314</v>
      </c>
      <c r="J132" s="5">
        <f t="shared" si="41"/>
        <v>1920804.6419031052</v>
      </c>
      <c r="K132" s="5">
        <f t="shared" si="41"/>
        <v>25422180.613770448</v>
      </c>
    </row>
    <row r="133" spans="2:11" ht="14.1" customHeight="1">
      <c r="B133" s="1" t="s">
        <v>130</v>
      </c>
      <c r="D133" s="26"/>
      <c r="E133" s="84"/>
      <c r="F133" s="5">
        <f>MAX(F118,0)-F132</f>
        <v>0</v>
      </c>
      <c r="G133" s="5">
        <f t="shared" ref="G133:K133" si="42">MAX(G118,0)-G132</f>
        <v>0</v>
      </c>
      <c r="H133" s="5">
        <f t="shared" si="42"/>
        <v>0</v>
      </c>
      <c r="I133" s="5">
        <f t="shared" si="42"/>
        <v>0</v>
      </c>
      <c r="J133" s="5">
        <f t="shared" si="42"/>
        <v>0</v>
      </c>
      <c r="K133" s="5">
        <f t="shared" si="42"/>
        <v>8636111.4627015069</v>
      </c>
    </row>
    <row r="134" spans="2:11" ht="14.1" customHeight="1">
      <c r="D134" s="26"/>
      <c r="E134" s="84"/>
    </row>
    <row r="135" spans="2:11" ht="14.1" customHeight="1">
      <c r="B135" s="75" t="s">
        <v>116</v>
      </c>
      <c r="C135" s="8"/>
      <c r="D135" s="46"/>
      <c r="E135" s="65"/>
      <c r="F135" s="76" t="str">
        <f>$F$51</f>
        <v>Year 0</v>
      </c>
      <c r="G135" s="76" t="str">
        <f>$G$51</f>
        <v>Year 1</v>
      </c>
      <c r="H135" s="76" t="str">
        <f>$H$51</f>
        <v>Year 2</v>
      </c>
      <c r="I135" s="76" t="str">
        <f>$I$51</f>
        <v>Year 3</v>
      </c>
      <c r="J135" s="76" t="str">
        <f>$J$51</f>
        <v>Year 4</v>
      </c>
      <c r="K135" s="76" t="str">
        <f>$K$51</f>
        <v>Year 5</v>
      </c>
    </row>
    <row r="136" spans="2:11" ht="14.1" customHeight="1">
      <c r="B136" s="1" t="s">
        <v>120</v>
      </c>
      <c r="D136" s="26"/>
      <c r="E136" s="84"/>
      <c r="F136" s="5">
        <f>E141</f>
        <v>0</v>
      </c>
      <c r="G136" s="5">
        <f t="shared" ref="G136:K136" si="43">F141</f>
        <v>18249157.612315513</v>
      </c>
      <c r="H136" s="5">
        <f t="shared" si="43"/>
        <v>20061315.3076763</v>
      </c>
      <c r="I136" s="5">
        <f t="shared" si="43"/>
        <v>21969411.550750114</v>
      </c>
      <c r="J136" s="5">
        <f t="shared" si="43"/>
        <v>23967111.638102517</v>
      </c>
      <c r="K136" s="5">
        <f t="shared" si="43"/>
        <v>25018400.624866869</v>
      </c>
    </row>
    <row r="137" spans="2:11" ht="14.1" customHeight="1">
      <c r="B137" s="1" t="s">
        <v>121</v>
      </c>
      <c r="D137" s="26">
        <f>K113</f>
        <v>0.12</v>
      </c>
      <c r="E137" s="84"/>
      <c r="F137" s="5">
        <f>F136*$D$137</f>
        <v>0</v>
      </c>
      <c r="G137" s="5">
        <f t="shared" ref="G137:K137" si="44">G136*$D$137</f>
        <v>2189898.9134778613</v>
      </c>
      <c r="H137" s="5">
        <f t="shared" si="44"/>
        <v>2407357.8369211559</v>
      </c>
      <c r="I137" s="5">
        <f t="shared" si="44"/>
        <v>2636329.3860900137</v>
      </c>
      <c r="J137" s="5">
        <f t="shared" si="44"/>
        <v>2876053.3965723021</v>
      </c>
      <c r="K137" s="5">
        <f t="shared" si="44"/>
        <v>3002208.0749840243</v>
      </c>
    </row>
    <row r="138" spans="2:11" ht="14.1" customHeight="1">
      <c r="B138" s="1" t="s">
        <v>122</v>
      </c>
      <c r="D138" s="26"/>
      <c r="E138" s="84"/>
      <c r="F138" s="5">
        <f>F123</f>
        <v>18249157.612315513</v>
      </c>
      <c r="G138" s="5">
        <f t="shared" ref="G138:K138" si="45">G123</f>
        <v>0</v>
      </c>
      <c r="H138" s="5">
        <f t="shared" si="45"/>
        <v>0</v>
      </c>
      <c r="I138" s="5">
        <f t="shared" si="45"/>
        <v>0</v>
      </c>
      <c r="J138" s="5">
        <f t="shared" si="45"/>
        <v>0</v>
      </c>
      <c r="K138" s="5">
        <f t="shared" si="45"/>
        <v>0</v>
      </c>
    </row>
    <row r="139" spans="2:11" ht="14.1" customHeight="1">
      <c r="B139" s="1" t="s">
        <v>131</v>
      </c>
      <c r="D139" s="26"/>
      <c r="E139" s="84"/>
      <c r="F139" s="5">
        <f>F124</f>
        <v>0</v>
      </c>
      <c r="G139" s="5">
        <f t="shared" ref="G139:K139" si="46">G124</f>
        <v>377741.21811707399</v>
      </c>
      <c r="H139" s="5">
        <f t="shared" si="46"/>
        <v>499261.59384734312</v>
      </c>
      <c r="I139" s="5">
        <f t="shared" si="46"/>
        <v>638629.29873761197</v>
      </c>
      <c r="J139" s="5">
        <f t="shared" si="46"/>
        <v>1824764.40980795</v>
      </c>
      <c r="K139" s="5">
        <f t="shared" si="46"/>
        <v>24151071.583081923</v>
      </c>
    </row>
    <row r="140" spans="2:11" ht="14.1" customHeight="1">
      <c r="B140" s="1" t="s">
        <v>123</v>
      </c>
      <c r="D140" s="26">
        <f>I113</f>
        <v>0.85</v>
      </c>
      <c r="E140" s="84"/>
      <c r="F140" s="5">
        <f>MIN(F133*$D$140,F136+F137-F139)</f>
        <v>0</v>
      </c>
      <c r="G140" s="5">
        <f t="shared" ref="G140:K140" si="47">MIN(G133*$D$140,G136+G137-G139)</f>
        <v>0</v>
      </c>
      <c r="H140" s="5">
        <f t="shared" si="47"/>
        <v>0</v>
      </c>
      <c r="I140" s="5">
        <f t="shared" si="47"/>
        <v>0</v>
      </c>
      <c r="J140" s="5">
        <f t="shared" si="47"/>
        <v>0</v>
      </c>
      <c r="K140" s="5">
        <f t="shared" si="47"/>
        <v>3869537.1167689711</v>
      </c>
    </row>
    <row r="141" spans="2:11" ht="14.1" customHeight="1">
      <c r="B141" s="1" t="s">
        <v>124</v>
      </c>
      <c r="D141" s="26"/>
      <c r="E141" s="84"/>
      <c r="F141" s="5">
        <f>SUM(F136:F138)-SUM(F139:F140)</f>
        <v>18249157.612315513</v>
      </c>
      <c r="G141" s="5">
        <f t="shared" ref="G141:K141" si="48">SUM(G136:G138)-SUM(G139:G140)</f>
        <v>20061315.3076763</v>
      </c>
      <c r="H141" s="5">
        <f t="shared" si="48"/>
        <v>21969411.550750114</v>
      </c>
      <c r="I141" s="5">
        <f t="shared" si="48"/>
        <v>23967111.638102517</v>
      </c>
      <c r="J141" s="5">
        <f t="shared" si="48"/>
        <v>25018400.624866869</v>
      </c>
      <c r="K141" s="5">
        <f t="shared" si="48"/>
        <v>0</v>
      </c>
    </row>
    <row r="142" spans="2:11" ht="14.1" customHeight="1">
      <c r="B142" s="1" t="s">
        <v>125</v>
      </c>
      <c r="D142" s="26">
        <f>D137</f>
        <v>0.12</v>
      </c>
      <c r="E142" s="83">
        <f>IRR(F142:K142)</f>
        <v>0.11999999999999988</v>
      </c>
      <c r="F142" s="5">
        <f>-F138+F139+F140</f>
        <v>-18249157.612315513</v>
      </c>
      <c r="G142" s="5">
        <f t="shared" ref="G142:K142" si="49">-G138+G139+G140</f>
        <v>377741.21811707399</v>
      </c>
      <c r="H142" s="5">
        <f t="shared" si="49"/>
        <v>499261.59384734312</v>
      </c>
      <c r="I142" s="5">
        <f t="shared" si="49"/>
        <v>638629.29873761197</v>
      </c>
      <c r="J142" s="5">
        <f t="shared" si="49"/>
        <v>1824764.40980795</v>
      </c>
      <c r="K142" s="5">
        <f t="shared" si="49"/>
        <v>28020608.699850895</v>
      </c>
    </row>
    <row r="143" spans="2:11" ht="14.1" customHeight="1">
      <c r="D143" s="26"/>
    </row>
    <row r="144" spans="2:11" ht="14.1" customHeight="1">
      <c r="B144" s="1" t="s">
        <v>126</v>
      </c>
      <c r="D144" s="26"/>
      <c r="F144" s="5">
        <f>F128</f>
        <v>960481.97959555336</v>
      </c>
      <c r="G144" s="5">
        <f t="shared" ref="G144:K144" si="50">G128</f>
        <v>0</v>
      </c>
      <c r="H144" s="5">
        <f t="shared" si="50"/>
        <v>0</v>
      </c>
      <c r="I144" s="5">
        <f t="shared" si="50"/>
        <v>0</v>
      </c>
      <c r="J144" s="5">
        <f t="shared" si="50"/>
        <v>0</v>
      </c>
      <c r="K144" s="5">
        <f t="shared" si="50"/>
        <v>0</v>
      </c>
    </row>
    <row r="145" spans="2:11" ht="14.1" customHeight="1">
      <c r="B145" s="1" t="s">
        <v>127</v>
      </c>
      <c r="D145" s="26">
        <f>J113</f>
        <v>0.15</v>
      </c>
      <c r="F145" s="5">
        <f>F140/$D$140*$D$145</f>
        <v>0</v>
      </c>
      <c r="G145" s="5">
        <f t="shared" ref="G145:K145" si="51">G140/$D$140*$D$145</f>
        <v>0</v>
      </c>
      <c r="H145" s="5">
        <f t="shared" si="51"/>
        <v>0</v>
      </c>
      <c r="I145" s="5">
        <f t="shared" si="51"/>
        <v>0</v>
      </c>
      <c r="J145" s="5">
        <f t="shared" si="51"/>
        <v>0</v>
      </c>
      <c r="K145" s="5">
        <f t="shared" si="51"/>
        <v>682859.49119452434</v>
      </c>
    </row>
    <row r="146" spans="2:11" ht="14.1" customHeight="1">
      <c r="D146" s="26"/>
    </row>
    <row r="147" spans="2:11" ht="14.1" customHeight="1">
      <c r="B147" s="1" t="s">
        <v>129</v>
      </c>
      <c r="F147" s="5">
        <f>F145+F140</f>
        <v>0</v>
      </c>
      <c r="G147" s="5">
        <f t="shared" ref="G147:K147" si="52">G145+G140</f>
        <v>0</v>
      </c>
      <c r="H147" s="5">
        <f t="shared" si="52"/>
        <v>0</v>
      </c>
      <c r="I147" s="5">
        <f t="shared" si="52"/>
        <v>0</v>
      </c>
      <c r="J147" s="5">
        <f t="shared" si="52"/>
        <v>0</v>
      </c>
      <c r="K147" s="5">
        <f t="shared" si="52"/>
        <v>4552396.607963495</v>
      </c>
    </row>
    <row r="148" spans="2:11" ht="14.1" customHeight="1">
      <c r="B148" s="1" t="s">
        <v>130</v>
      </c>
      <c r="F148" s="5">
        <f>F133-F147</f>
        <v>0</v>
      </c>
      <c r="G148" s="5">
        <f t="shared" ref="G148:K148" si="53">G133-G147</f>
        <v>0</v>
      </c>
      <c r="H148" s="5">
        <f t="shared" si="53"/>
        <v>0</v>
      </c>
      <c r="I148" s="5">
        <f t="shared" si="53"/>
        <v>0</v>
      </c>
      <c r="J148" s="5">
        <f t="shared" si="53"/>
        <v>0</v>
      </c>
      <c r="K148" s="5">
        <f t="shared" si="53"/>
        <v>4083714.854738012</v>
      </c>
    </row>
    <row r="150" spans="2:11" ht="14.1" customHeight="1">
      <c r="B150" s="75" t="s">
        <v>118</v>
      </c>
      <c r="C150" s="8"/>
      <c r="D150" s="46"/>
      <c r="E150" s="8"/>
      <c r="F150" s="76" t="str">
        <f>$F$51</f>
        <v>Year 0</v>
      </c>
      <c r="G150" s="76" t="str">
        <f>$G$51</f>
        <v>Year 1</v>
      </c>
      <c r="H150" s="76" t="str">
        <f>$H$51</f>
        <v>Year 2</v>
      </c>
      <c r="I150" s="76" t="str">
        <f>$I$51</f>
        <v>Year 3</v>
      </c>
      <c r="J150" s="76" t="str">
        <f>$J$51</f>
        <v>Year 4</v>
      </c>
      <c r="K150" s="76" t="str">
        <f>$K$51</f>
        <v>Year 5</v>
      </c>
    </row>
    <row r="151" spans="2:11" ht="14.1" customHeight="1">
      <c r="B151" s="1" t="s">
        <v>123</v>
      </c>
      <c r="D151" s="26">
        <f>I114</f>
        <v>0.75</v>
      </c>
      <c r="F151" s="77">
        <f>F$148*$D151</f>
        <v>0</v>
      </c>
      <c r="G151" s="77">
        <f t="shared" ref="G151:K152" si="54">G$148*$D151</f>
        <v>0</v>
      </c>
      <c r="H151" s="77">
        <f t="shared" si="54"/>
        <v>0</v>
      </c>
      <c r="I151" s="77">
        <f t="shared" si="54"/>
        <v>0</v>
      </c>
      <c r="J151" s="77">
        <f t="shared" si="54"/>
        <v>0</v>
      </c>
      <c r="K151" s="77">
        <f t="shared" si="54"/>
        <v>3062786.141053509</v>
      </c>
    </row>
    <row r="152" spans="2:11" ht="14.1" customHeight="1">
      <c r="B152" s="1" t="s">
        <v>127</v>
      </c>
      <c r="D152" s="26">
        <f>J114</f>
        <v>0.25</v>
      </c>
      <c r="F152" s="77">
        <f>F$148*$D152</f>
        <v>0</v>
      </c>
      <c r="G152" s="77">
        <f t="shared" si="54"/>
        <v>0</v>
      </c>
      <c r="H152" s="77">
        <f t="shared" si="54"/>
        <v>0</v>
      </c>
      <c r="I152" s="77">
        <f t="shared" si="54"/>
        <v>0</v>
      </c>
      <c r="J152" s="77">
        <f t="shared" si="54"/>
        <v>0</v>
      </c>
      <c r="K152" s="77">
        <f t="shared" si="54"/>
        <v>1020928.713684503</v>
      </c>
    </row>
    <row r="153" spans="2:11" ht="14.1" customHeight="1">
      <c r="B153" s="1" t="s">
        <v>129</v>
      </c>
      <c r="D153" s="26"/>
      <c r="F153" s="77">
        <f>SUM(F151:F152)</f>
        <v>0</v>
      </c>
      <c r="G153" s="77">
        <f t="shared" ref="G153:K153" si="55">SUM(G151:G152)</f>
        <v>0</v>
      </c>
      <c r="H153" s="77">
        <f t="shared" si="55"/>
        <v>0</v>
      </c>
      <c r="I153" s="77">
        <f t="shared" si="55"/>
        <v>0</v>
      </c>
      <c r="J153" s="77">
        <f t="shared" si="55"/>
        <v>0</v>
      </c>
      <c r="K153" s="77">
        <f t="shared" si="55"/>
        <v>4083714.854738012</v>
      </c>
    </row>
    <row r="154" spans="2:11" ht="14.1" customHeight="1">
      <c r="B154" s="2"/>
      <c r="D154" s="26"/>
      <c r="F154" s="9"/>
      <c r="G154" s="9"/>
      <c r="H154" s="9"/>
      <c r="I154" s="9"/>
      <c r="J154" s="9"/>
      <c r="K154" s="9"/>
    </row>
    <row r="155" spans="2:11" ht="14.1" customHeight="1">
      <c r="B155" s="75" t="s">
        <v>132</v>
      </c>
      <c r="C155" s="8"/>
      <c r="D155" s="78" t="s">
        <v>133</v>
      </c>
      <c r="E155" s="8"/>
      <c r="F155" s="76" t="str">
        <f>$F$51</f>
        <v>Year 0</v>
      </c>
      <c r="G155" s="76" t="str">
        <f>$G$51</f>
        <v>Year 1</v>
      </c>
      <c r="H155" s="76" t="str">
        <f>$H$51</f>
        <v>Year 2</v>
      </c>
      <c r="I155" s="76" t="str">
        <f>$I$51</f>
        <v>Year 3</v>
      </c>
      <c r="J155" s="76" t="str">
        <f>$J$51</f>
        <v>Year 4</v>
      </c>
      <c r="K155" s="76" t="str">
        <f>$K$51</f>
        <v>Year 5</v>
      </c>
    </row>
    <row r="156" spans="2:11" ht="14.1" customHeight="1">
      <c r="B156" s="2" t="s">
        <v>101</v>
      </c>
      <c r="C156" s="2"/>
      <c r="D156" s="79">
        <f>IRR(F160:K160)</f>
        <v>0.27685719515467899</v>
      </c>
      <c r="F156" s="9"/>
      <c r="G156" s="9"/>
      <c r="H156" s="9"/>
      <c r="I156" s="9"/>
      <c r="J156" s="9"/>
      <c r="K156" s="9"/>
    </row>
    <row r="157" spans="2:11" ht="14.1" customHeight="1">
      <c r="B157" s="2" t="s">
        <v>104</v>
      </c>
      <c r="C157" s="2"/>
      <c r="D157" s="80">
        <f>D158/D159</f>
        <v>3.2803401268173795</v>
      </c>
      <c r="F157" s="9"/>
      <c r="G157" s="9"/>
      <c r="H157" s="9"/>
      <c r="I157" s="9"/>
      <c r="J157" s="9"/>
      <c r="K157" s="9"/>
    </row>
    <row r="158" spans="2:11" ht="14.1" customHeight="1">
      <c r="B158" s="1" t="s">
        <v>134</v>
      </c>
      <c r="D158" s="5">
        <f>SUM(F158:K158)</f>
        <v>3150707.5787522853</v>
      </c>
      <c r="F158" s="77">
        <f>F129+F145+F152</f>
        <v>0</v>
      </c>
      <c r="G158" s="77">
        <f t="shared" ref="G158:K158" si="56">G129+G145+G152</f>
        <v>19881.116743003895</v>
      </c>
      <c r="H158" s="77">
        <f t="shared" si="56"/>
        <v>26276.925991965429</v>
      </c>
      <c r="I158" s="77">
        <f t="shared" si="56"/>
        <v>33612.068354611161</v>
      </c>
      <c r="J158" s="77">
        <f t="shared" si="56"/>
        <v>96040.232095155283</v>
      </c>
      <c r="K158" s="77">
        <f t="shared" si="56"/>
        <v>2974897.2355675497</v>
      </c>
    </row>
    <row r="159" spans="2:11" ht="14.1" customHeight="1">
      <c r="B159" s="1" t="s">
        <v>135</v>
      </c>
      <c r="D159" s="5">
        <f t="shared" ref="D159:D160" si="57">SUM(F159:K159)</f>
        <v>960481.97959555336</v>
      </c>
      <c r="F159" s="77">
        <f>F128</f>
        <v>960481.97959555336</v>
      </c>
      <c r="G159" s="77">
        <f t="shared" ref="G159:K159" si="58">G128</f>
        <v>0</v>
      </c>
      <c r="H159" s="77">
        <f t="shared" si="58"/>
        <v>0</v>
      </c>
      <c r="I159" s="77">
        <f t="shared" si="58"/>
        <v>0</v>
      </c>
      <c r="J159" s="77">
        <f t="shared" si="58"/>
        <v>0</v>
      </c>
      <c r="K159" s="77">
        <f t="shared" si="58"/>
        <v>0</v>
      </c>
    </row>
    <row r="160" spans="2:11" ht="14.1" customHeight="1">
      <c r="B160" s="1" t="s">
        <v>136</v>
      </c>
      <c r="D160" s="5">
        <f t="shared" si="57"/>
        <v>2190225.5991567322</v>
      </c>
      <c r="F160" s="77">
        <f>-F159+F158</f>
        <v>-960481.97959555336</v>
      </c>
      <c r="G160" s="77">
        <f t="shared" ref="G160:K160" si="59">-G159+G158</f>
        <v>19881.116743003895</v>
      </c>
      <c r="H160" s="77">
        <f t="shared" si="59"/>
        <v>26276.925991965429</v>
      </c>
      <c r="I160" s="77">
        <f t="shared" si="59"/>
        <v>33612.068354611161</v>
      </c>
      <c r="J160" s="77">
        <f t="shared" si="59"/>
        <v>96040.232095155283</v>
      </c>
      <c r="K160" s="77">
        <f t="shared" si="59"/>
        <v>2974897.2355675497</v>
      </c>
    </row>
    <row r="161" spans="2:12" ht="14.1" customHeight="1">
      <c r="D161" s="26"/>
      <c r="F161" s="9"/>
      <c r="G161" s="9"/>
      <c r="H161" s="9"/>
      <c r="I161" s="9"/>
      <c r="J161" s="9"/>
      <c r="K161" s="9"/>
    </row>
    <row r="162" spans="2:12" ht="14.1" customHeight="1">
      <c r="B162" s="75" t="s">
        <v>137</v>
      </c>
      <c r="C162" s="8"/>
      <c r="D162" s="78" t="s">
        <v>133</v>
      </c>
      <c r="E162" s="8"/>
      <c r="F162" s="76" t="str">
        <f>$F$51</f>
        <v>Year 0</v>
      </c>
      <c r="G162" s="76" t="str">
        <f>$G$51</f>
        <v>Year 1</v>
      </c>
      <c r="H162" s="76" t="str">
        <f>$H$51</f>
        <v>Year 2</v>
      </c>
      <c r="I162" s="76" t="str">
        <f>$I$51</f>
        <v>Year 3</v>
      </c>
      <c r="J162" s="76" t="str">
        <f>$J$51</f>
        <v>Year 4</v>
      </c>
      <c r="K162" s="76" t="str">
        <f>$K$51</f>
        <v>Year 5</v>
      </c>
    </row>
    <row r="163" spans="2:12" ht="14.1" customHeight="1">
      <c r="B163" s="2" t="s">
        <v>101</v>
      </c>
      <c r="C163" s="2"/>
      <c r="D163" s="79">
        <f>IRR(F167:K167)</f>
        <v>0.14159153664207125</v>
      </c>
      <c r="F163" s="9"/>
      <c r="G163" s="9"/>
      <c r="H163" s="9"/>
      <c r="I163" s="9"/>
      <c r="J163" s="9"/>
      <c r="K163" s="9"/>
    </row>
    <row r="164" spans="2:12" ht="14.1" customHeight="1">
      <c r="B164" s="2" t="s">
        <v>104</v>
      </c>
      <c r="C164" s="2"/>
      <c r="D164" s="80">
        <f>D165/D166</f>
        <v>1.8863222123843872</v>
      </c>
      <c r="F164" s="9"/>
      <c r="G164" s="9"/>
      <c r="H164" s="9"/>
      <c r="I164" s="9"/>
      <c r="J164" s="9"/>
      <c r="K164" s="9"/>
    </row>
    <row r="165" spans="2:12" ht="14.1" customHeight="1">
      <c r="B165" s="1" t="s">
        <v>134</v>
      </c>
      <c r="D165" s="5">
        <f>SUM(F165:K165)</f>
        <v>34423791.36141438</v>
      </c>
      <c r="F165" s="77">
        <f t="shared" ref="F165:K165" si="60">F124+F140+F151</f>
        <v>0</v>
      </c>
      <c r="G165" s="77">
        <f t="shared" si="60"/>
        <v>377741.21811707399</v>
      </c>
      <c r="H165" s="77">
        <f t="shared" si="60"/>
        <v>499261.59384734312</v>
      </c>
      <c r="I165" s="77">
        <f t="shared" si="60"/>
        <v>638629.29873761197</v>
      </c>
      <c r="J165" s="77">
        <f t="shared" si="60"/>
        <v>1824764.40980795</v>
      </c>
      <c r="K165" s="77">
        <f t="shared" si="60"/>
        <v>31083394.840904403</v>
      </c>
    </row>
    <row r="166" spans="2:12" ht="14.1" customHeight="1">
      <c r="B166" s="1" t="s">
        <v>135</v>
      </c>
      <c r="D166" s="5">
        <f t="shared" ref="D166:D167" si="61">SUM(F166:K166)</f>
        <v>18249157.612315513</v>
      </c>
      <c r="F166" s="77">
        <f>F123</f>
        <v>18249157.612315513</v>
      </c>
      <c r="G166" s="77">
        <f t="shared" ref="G166:K166" si="62">G123</f>
        <v>0</v>
      </c>
      <c r="H166" s="77">
        <f t="shared" si="62"/>
        <v>0</v>
      </c>
      <c r="I166" s="77">
        <f t="shared" si="62"/>
        <v>0</v>
      </c>
      <c r="J166" s="77">
        <f t="shared" si="62"/>
        <v>0</v>
      </c>
      <c r="K166" s="77">
        <f t="shared" si="62"/>
        <v>0</v>
      </c>
    </row>
    <row r="167" spans="2:12" ht="14.1" customHeight="1">
      <c r="B167" s="1" t="s">
        <v>136</v>
      </c>
      <c r="D167" s="5">
        <f t="shared" si="61"/>
        <v>16174633.749098867</v>
      </c>
      <c r="F167" s="77">
        <f>-F166+F165</f>
        <v>-18249157.612315513</v>
      </c>
      <c r="G167" s="77">
        <f t="shared" ref="G167:K167" si="63">-G166+G165</f>
        <v>377741.21811707399</v>
      </c>
      <c r="H167" s="77">
        <f t="shared" si="63"/>
        <v>499261.59384734312</v>
      </c>
      <c r="I167" s="77">
        <f t="shared" si="63"/>
        <v>638629.29873761197</v>
      </c>
      <c r="J167" s="77">
        <f t="shared" si="63"/>
        <v>1824764.40980795</v>
      </c>
      <c r="K167" s="77">
        <f t="shared" si="63"/>
        <v>31083394.840904403</v>
      </c>
    </row>
    <row r="169" spans="2:12" ht="14.1" customHeight="1">
      <c r="B169" s="75" t="s">
        <v>138</v>
      </c>
      <c r="C169" s="8"/>
      <c r="D169" s="8"/>
      <c r="E169" s="8"/>
      <c r="F169" s="8"/>
      <c r="G169" s="8"/>
      <c r="H169" s="8"/>
      <c r="I169" s="8"/>
      <c r="J169" s="8"/>
      <c r="K169" s="8"/>
    </row>
    <row r="170" spans="2:12" ht="14.1" customHeight="1">
      <c r="B170" s="2" t="s">
        <v>101</v>
      </c>
      <c r="C170" s="2"/>
      <c r="D170" s="81">
        <f>D103</f>
        <v>0.14999780058860779</v>
      </c>
    </row>
    <row r="171" spans="2:12" ht="14.1" customHeight="1">
      <c r="B171" s="2" t="s">
        <v>104</v>
      </c>
      <c r="C171" s="2"/>
      <c r="D171" s="82">
        <f>D106</f>
        <v>1.9560231081060369</v>
      </c>
    </row>
    <row r="174" spans="2:12" ht="14.1" customHeight="1">
      <c r="B174" s="30" t="s">
        <v>139</v>
      </c>
      <c r="C174" s="31"/>
      <c r="D174" s="31"/>
      <c r="E174" s="31"/>
      <c r="F174" s="31"/>
      <c r="G174" s="31"/>
      <c r="H174" s="31"/>
      <c r="I174" s="31"/>
      <c r="J174" s="31"/>
      <c r="K174" s="31"/>
      <c r="L174" s="31"/>
    </row>
  </sheetData>
  <phoneticPr fontId="2" type="noConversion"/>
  <pageMargins left="0.7" right="0.7" top="0.75" bottom="0.75" header="0.3" footer="0.3"/>
  <pageSetup scale="60" fitToHeight="0" orientation="portrait" r:id="rId1"/>
  <rowBreaks count="3" manualBreakCount="3">
    <brk id="47" min="1" max="11" man="1"/>
    <brk id="107" min="1" max="11" man="1"/>
    <brk id="172" min="1" max="11" man="1"/>
  </rowBreaks>
  <drawing r:id="rId2"/>
  <legacyDrawing r:id="rId3"/>
</worksheet>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Peppelman, Colton</dc:creator>
  <cp:keywords/>
  <dc:description/>
  <cp:lastModifiedBy>Peppelman, Colton</cp:lastModifiedBy>
  <cp:revision/>
  <dcterms:created xsi:type="dcterms:W3CDTF">2024-12-10T01:10:21Z</dcterms:created>
  <dcterms:modified xsi:type="dcterms:W3CDTF">2025-11-11T16:33:36Z</dcterms:modified>
  <cp:category/>
  <cp:contentStatus/>
</cp:coreProperties>
</file>